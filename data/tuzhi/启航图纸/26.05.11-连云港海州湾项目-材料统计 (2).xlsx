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definedNames>
    <definedName name="_xlnm._FilterDatabase" localSheetId="0" hidden="1">Sheet1!$F$1:$F$121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<sst xmlns="http://schemas.openxmlformats.org/spreadsheetml/2006/main" count="394" uniqueCount="213">
  <si>
    <t>框架系统</t>
  </si>
  <si>
    <t>货品编码</t>
  </si>
  <si>
    <t>材料名称</t>
  </si>
  <si>
    <t>型号</t>
  </si>
  <si>
    <t>单位</t>
  </si>
  <si>
    <t>圆形网箱#1
（无中心平台）</t>
  </si>
  <si>
    <t>圆形网箱#2
（有中心平台126m3）</t>
  </si>
  <si>
    <t>方形网箱</t>
  </si>
  <si>
    <r>
      <rPr>
        <sz val="11"/>
        <rFont val="宋体"/>
        <charset val="134"/>
        <scheme val="minor"/>
      </rPr>
      <t>平台（</t>
    </r>
    <r>
      <rPr>
        <sz val="11"/>
        <color rgb="FFFF0000"/>
        <rFont val="宋体"/>
        <charset val="134"/>
        <scheme val="minor"/>
      </rPr>
      <t>1122.13</t>
    </r>
    <r>
      <rPr>
        <sz val="11"/>
        <rFont val="宋体"/>
        <charset val="134"/>
        <scheme val="minor"/>
      </rPr>
      <t>)m3</t>
    </r>
  </si>
  <si>
    <t>总计
（网箱#1+网箱#2+方形网箱+平台）</t>
  </si>
  <si>
    <t>单重(kg)</t>
  </si>
  <si>
    <t>总重(kg)</t>
  </si>
  <si>
    <r>
      <rPr>
        <sz val="11"/>
        <color theme="1"/>
        <rFont val="宋体"/>
        <charset val="134"/>
        <scheme val="minor"/>
      </rPr>
      <t>体积(m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)</t>
    </r>
  </si>
  <si>
    <r>
      <rPr>
        <sz val="11"/>
        <color theme="1"/>
        <rFont val="宋体"/>
        <charset val="134"/>
        <scheme val="minor"/>
      </rPr>
      <t>总体积(m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)</t>
    </r>
  </si>
  <si>
    <t>PE管材400*23.7</t>
  </si>
  <si>
    <t>DN400/壁厚23.7mm</t>
  </si>
  <si>
    <t>米</t>
  </si>
  <si>
    <t>PE管材500*29.7</t>
  </si>
  <si>
    <t>DN500/壁厚29.7mm</t>
  </si>
  <si>
    <t>泡沫柱</t>
  </si>
  <si>
    <r>
      <rPr>
        <sz val="11"/>
        <color theme="1"/>
        <rFont val="宋体"/>
        <charset val="134"/>
      </rPr>
      <t>DN400</t>
    </r>
    <r>
      <rPr>
        <sz val="10"/>
        <color theme="1"/>
        <rFont val="宋体"/>
        <charset val="134"/>
      </rPr>
      <t>管材用</t>
    </r>
    <r>
      <rPr>
        <sz val="10"/>
        <color theme="1"/>
        <rFont val="Arial"/>
        <charset val="134"/>
      </rPr>
      <t xml:space="preserve">  0.98m/</t>
    </r>
    <r>
      <rPr>
        <sz val="10"/>
        <color theme="1"/>
        <rFont val="宋体"/>
        <charset val="134"/>
      </rPr>
      <t>根</t>
    </r>
  </si>
  <si>
    <t>根</t>
  </si>
  <si>
    <t>DN500管材用 0.98m/根</t>
  </si>
  <si>
    <t>PE管材90*8.2</t>
  </si>
  <si>
    <r>
      <rPr>
        <sz val="11"/>
        <color theme="1"/>
        <rFont val="宋体"/>
        <charset val="134"/>
      </rPr>
      <t>DN90/壁厚8.2mm</t>
    </r>
    <r>
      <rPr>
        <sz val="11"/>
        <color rgb="FFFF0000"/>
        <rFont val="宋体"/>
        <charset val="134"/>
      </rPr>
      <t>（灰色）</t>
    </r>
  </si>
  <si>
    <t>PE管材110*10</t>
  </si>
  <si>
    <r>
      <rPr>
        <sz val="11"/>
        <color theme="1"/>
        <rFont val="宋体"/>
        <charset val="134"/>
        <scheme val="minor"/>
      </rPr>
      <t>DN110/壁厚10mm</t>
    </r>
    <r>
      <rPr>
        <sz val="11"/>
        <color rgb="FFFF0000"/>
        <rFont val="宋体"/>
        <charset val="134"/>
        <scheme val="minor"/>
      </rPr>
      <t>（灰色）</t>
    </r>
  </si>
  <si>
    <t>00400100006</t>
  </si>
  <si>
    <t>400韩式支架</t>
  </si>
  <si>
    <r>
      <rPr>
        <sz val="10"/>
        <color theme="1"/>
        <rFont val="宋体"/>
        <charset val="134"/>
      </rPr>
      <t>注塑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三孔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双头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黑色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浮管孔间距</t>
    </r>
    <r>
      <rPr>
        <sz val="10"/>
        <color theme="1"/>
        <rFont val="Arial"/>
        <charset val="134"/>
      </rPr>
      <t>770*2=1540mm</t>
    </r>
  </si>
  <si>
    <t>个</t>
  </si>
  <si>
    <t>00400130001</t>
  </si>
  <si>
    <t>平台支架</t>
  </si>
  <si>
    <t xml:space="preserve">注塑  400型  黑色  1000*120 </t>
  </si>
  <si>
    <t>00400120004</t>
  </si>
  <si>
    <t>DN500型平台支架D</t>
  </si>
  <si>
    <t>三孔立柱</t>
  </si>
  <si>
    <r>
      <rPr>
        <sz val="11"/>
        <color theme="1"/>
        <rFont val="宋体"/>
        <charset val="134"/>
      </rPr>
      <t>HD-110  1300mm</t>
    </r>
    <r>
      <rPr>
        <sz val="11"/>
        <color rgb="FFFF0000"/>
        <rFont val="宋体"/>
        <charset val="134"/>
      </rPr>
      <t>（橙色）</t>
    </r>
  </si>
  <si>
    <t>双孔立柱</t>
  </si>
  <si>
    <r>
      <rPr>
        <sz val="11"/>
        <color theme="1"/>
        <rFont val="宋体"/>
        <charset val="134"/>
      </rPr>
      <t>HD-110   824mm</t>
    </r>
    <r>
      <rPr>
        <sz val="11"/>
        <color rgb="FFFF0000"/>
        <rFont val="宋体"/>
        <charset val="134"/>
      </rPr>
      <t>（橙色）</t>
    </r>
  </si>
  <si>
    <t>平台立柱</t>
  </si>
  <si>
    <r>
      <rPr>
        <sz val="11"/>
        <color theme="1"/>
        <rFont val="宋体"/>
        <charset val="134"/>
      </rPr>
      <t>底座+130方管+厚盖帽  1580mm</t>
    </r>
    <r>
      <rPr>
        <sz val="11"/>
        <color rgb="FFFF0000"/>
        <rFont val="宋体"/>
        <charset val="134"/>
      </rPr>
      <t>（橙色）</t>
    </r>
  </si>
  <si>
    <t>套</t>
  </si>
  <si>
    <t>管道浮筒</t>
  </si>
  <si>
    <t>400型 800*800</t>
  </si>
  <si>
    <t>500型 1300*1300</t>
  </si>
  <si>
    <t>00200070003</t>
  </si>
  <si>
    <t>端帽</t>
  </si>
  <si>
    <t>DN400</t>
  </si>
  <si>
    <t>00200070006</t>
  </si>
  <si>
    <t>DN500</t>
  </si>
  <si>
    <t>00300040006</t>
  </si>
  <si>
    <t>挡块</t>
  </si>
  <si>
    <t>00300040007</t>
  </si>
  <si>
    <t>00500080002</t>
  </si>
  <si>
    <r>
      <rPr>
        <sz val="10"/>
        <color theme="1"/>
        <rFont val="Arial"/>
        <charset val="134"/>
      </rPr>
      <t>320</t>
    </r>
    <r>
      <rPr>
        <sz val="10"/>
        <color theme="1"/>
        <rFont val="宋体"/>
        <charset val="134"/>
      </rPr>
      <t>踏板</t>
    </r>
  </si>
  <si>
    <r>
      <rPr>
        <sz val="10"/>
        <color theme="1"/>
        <rFont val="宋体"/>
        <charset val="134"/>
      </rPr>
      <t>挤塑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Arial"/>
        <charset val="134"/>
      </rPr>
      <t xml:space="preserve">  320*60mm </t>
    </r>
    <r>
      <rPr>
        <sz val="10"/>
        <color theme="1"/>
        <rFont val="Arial"/>
        <charset val="134"/>
      </rPr>
      <t xml:space="preserve">   </t>
    </r>
    <r>
      <rPr>
        <sz val="10"/>
        <color rgb="FFFF0000"/>
        <rFont val="宋体"/>
        <charset val="134"/>
      </rPr>
      <t>（浅蓝色）</t>
    </r>
  </si>
  <si>
    <t>00500040001</t>
  </si>
  <si>
    <r>
      <rPr>
        <sz val="10"/>
        <color theme="1"/>
        <rFont val="Arial"/>
        <charset val="134"/>
      </rPr>
      <t>150</t>
    </r>
    <r>
      <rPr>
        <sz val="10"/>
        <color theme="1"/>
        <rFont val="宋体"/>
        <charset val="134"/>
      </rPr>
      <t>踏板</t>
    </r>
  </si>
  <si>
    <r>
      <rPr>
        <sz val="11"/>
        <color theme="1"/>
        <rFont val="宋体"/>
        <charset val="134"/>
      </rPr>
      <t xml:space="preserve">挤塑  150*60mm </t>
    </r>
    <r>
      <rPr>
        <sz val="11"/>
        <color rgb="FFFF0000"/>
        <rFont val="宋体"/>
        <charset val="134"/>
      </rPr>
      <t>（浅蓝色）</t>
    </r>
    <r>
      <rPr>
        <sz val="11"/>
        <color theme="1"/>
        <rFont val="宋体"/>
        <charset val="134"/>
      </rPr>
      <t xml:space="preserve"> </t>
    </r>
  </si>
  <si>
    <t>00200020010</t>
  </si>
  <si>
    <t>等径90°弯头</t>
  </si>
  <si>
    <t>00200020006</t>
  </si>
  <si>
    <t>DN110</t>
  </si>
  <si>
    <t>00200020005</t>
  </si>
  <si>
    <t>DN90</t>
  </si>
  <si>
    <t>00300030001</t>
  </si>
  <si>
    <t>抱箍件</t>
  </si>
  <si>
    <t>400型 C型  黑色</t>
  </si>
  <si>
    <t>00300030002</t>
  </si>
  <si>
    <t>400型 Y型  黑色</t>
  </si>
  <si>
    <t>00300030003</t>
  </si>
  <si>
    <t>DN500型，C型，黑色</t>
  </si>
  <si>
    <t>00300030004</t>
  </si>
  <si>
    <t>DN500型，Y型，黑色</t>
  </si>
  <si>
    <t>金属抱箍件</t>
  </si>
  <si>
    <t>DN400型   金属连杆连接，热镀锌</t>
  </si>
  <si>
    <t>DN500型   金属连杆连接，热镀锌</t>
  </si>
  <si>
    <t>00500010002</t>
  </si>
  <si>
    <r>
      <rPr>
        <sz val="10"/>
        <color theme="1"/>
        <rFont val="Arial"/>
        <charset val="134"/>
      </rPr>
      <t>130</t>
    </r>
    <r>
      <rPr>
        <sz val="10"/>
        <color theme="1"/>
        <rFont val="宋体"/>
        <charset val="134"/>
      </rPr>
      <t>方管</t>
    </r>
  </si>
  <si>
    <t>130*130 12米/根 红色</t>
  </si>
  <si>
    <t>00500010003</t>
  </si>
  <si>
    <t>130*130  覆黄色防滑表层</t>
  </si>
  <si>
    <t>00200020012</t>
  </si>
  <si>
    <t>方管弯头</t>
  </si>
  <si>
    <t>130*130 橘红</t>
  </si>
  <si>
    <t>00300010002</t>
  </si>
  <si>
    <t>盖帽</t>
  </si>
  <si>
    <r>
      <rPr>
        <sz val="10"/>
        <color theme="1"/>
        <rFont val="宋体"/>
        <charset val="134"/>
      </rPr>
      <t>内壁</t>
    </r>
    <r>
      <rPr>
        <sz val="10"/>
        <color theme="1"/>
        <rFont val="Arial"/>
        <charset val="134"/>
      </rPr>
      <t xml:space="preserve">130*130  </t>
    </r>
    <r>
      <rPr>
        <sz val="10"/>
        <color theme="1"/>
        <rFont val="宋体"/>
        <charset val="134"/>
      </rPr>
      <t>厚</t>
    </r>
  </si>
  <si>
    <t>0140010004</t>
  </si>
  <si>
    <t>方管固定钢板</t>
  </si>
  <si>
    <t>定制，135*270</t>
  </si>
  <si>
    <t>片</t>
  </si>
  <si>
    <t>系船桩</t>
  </si>
  <si>
    <t>底座+盖帽+PE棒</t>
  </si>
  <si>
    <t>异径直接</t>
  </si>
  <si>
    <t>DN500-400</t>
  </si>
  <si>
    <t>0140010025</t>
  </si>
  <si>
    <t>太阳能警示灯</t>
  </si>
  <si>
    <t>高配</t>
  </si>
  <si>
    <t>316螺栓</t>
  </si>
  <si>
    <t>沉头钻尾丝ST4.8*38</t>
  </si>
  <si>
    <t>支</t>
  </si>
  <si>
    <t>M20*100（抱箍）</t>
  </si>
  <si>
    <t>M20*120（抱箍）</t>
  </si>
  <si>
    <t>M16*90（支架）</t>
  </si>
  <si>
    <t>M12*100内六角大平头（踏板）</t>
  </si>
  <si>
    <t>M12*150（踏板连接处、扶手管）</t>
  </si>
  <si>
    <t>M12*420（平台连接处台阶）</t>
  </si>
  <si>
    <t>M12*220（平台连接处台阶、管道浮筒）</t>
  </si>
  <si>
    <t>M12*130(立柱/拴船桩）</t>
  </si>
  <si>
    <t>M12*165（网箱立柱）</t>
  </si>
  <si>
    <t>M12*180（底座、方管弯头、钢板+方管）</t>
  </si>
  <si>
    <t>M12*200（方管+支架）</t>
  </si>
  <si>
    <t>M12*350(双方管+支架)</t>
  </si>
  <si>
    <t>M12*50（固定钢板)</t>
  </si>
  <si>
    <t>M16*220(管道浮筒)</t>
  </si>
  <si>
    <t>316尼龙防脱螺母</t>
  </si>
  <si>
    <t>M12</t>
  </si>
  <si>
    <t>M16</t>
  </si>
  <si>
    <t>M20</t>
  </si>
  <si>
    <t>316垫片</t>
  </si>
  <si>
    <t>网衣系统</t>
  </si>
  <si>
    <t>网箱1
（无中心平台）</t>
  </si>
  <si>
    <t>网箱2
（有中心平台）</t>
  </si>
  <si>
    <t>方形网箱组</t>
  </si>
  <si>
    <t>平台</t>
  </si>
  <si>
    <t>总计
（网箱1+网箱2+方形网箱+平台）</t>
  </si>
  <si>
    <t>网衣</t>
  </si>
  <si>
    <t>7.5m*7.5m方形网箱，网深3+1m，聚乙烯，全网目50mm</t>
  </si>
  <si>
    <t>周长101m，网深3+1m，超高分子量，全网目50mm</t>
  </si>
  <si>
    <r>
      <rPr>
        <sz val="11"/>
        <color theme="1"/>
        <rFont val="宋体"/>
        <charset val="134"/>
        <scheme val="minor"/>
      </rPr>
      <t>周长10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m，网深3+1m，聚乙烯，全网目50mm</t>
    </r>
  </si>
  <si>
    <t>网衣坠石</t>
  </si>
  <si>
    <t>水泥坠石，40kg/个</t>
  </si>
  <si>
    <t>坠石绳</t>
  </si>
  <si>
    <t>PEφ16mm，1.5m/根</t>
  </si>
  <si>
    <t>提网绳</t>
  </si>
  <si>
    <r>
      <rPr>
        <sz val="11"/>
        <color theme="1"/>
        <rFont val="宋体"/>
        <charset val="134"/>
        <scheme val="minor"/>
      </rPr>
      <t>PEφ24mm，10</t>
    </r>
    <r>
      <rPr>
        <sz val="11"/>
        <color theme="1"/>
        <rFont val="宋体"/>
        <charset val="134"/>
      </rPr>
      <t>m/根</t>
    </r>
  </si>
  <si>
    <t>防坠网</t>
  </si>
  <si>
    <t>周长101m，高度1.1m，PET材质</t>
  </si>
  <si>
    <t>长度100m，高度1.1m，PET材质</t>
  </si>
  <si>
    <t>长度26.2m，高度1.3m，PET材质</t>
  </si>
  <si>
    <t>长度21.6m，高度1.1m，PET材质</t>
  </si>
  <si>
    <t>长度140m，高度1.1m，PET材质</t>
  </si>
  <si>
    <t>长度30m，高度0.7m，PET材质</t>
  </si>
  <si>
    <t>长115m，高度1.3m，PET材质</t>
  </si>
  <si>
    <t>防坠网绑绳</t>
  </si>
  <si>
    <t>PEφ6mm，1m/根</t>
  </si>
  <si>
    <t>附属设施</t>
  </si>
  <si>
    <t>规格型号</t>
  </si>
  <si>
    <t>数量</t>
  </si>
  <si>
    <t>总重（kg）</t>
  </si>
  <si>
    <r>
      <rPr>
        <sz val="11"/>
        <rFont val="宋体"/>
        <charset val="134"/>
        <scheme val="minor"/>
      </rPr>
      <t>体积(m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)</t>
    </r>
  </si>
  <si>
    <t>总体积（m3）</t>
  </si>
  <si>
    <t>房屋减震</t>
  </si>
  <si>
    <t>DN500型</t>
  </si>
  <si>
    <t>发电舱底座</t>
  </si>
  <si>
    <t>6.9m*6.15m，100H型钢框架定制</t>
  </si>
  <si>
    <t>5.6m*6.15m，100H型钢框架定制</t>
  </si>
  <si>
    <t>吊机系统</t>
  </si>
  <si>
    <t>吊机及固定底座</t>
  </si>
  <si>
    <t>轮胎</t>
  </si>
  <si>
    <t>630mm</t>
  </si>
  <si>
    <t>00700060001</t>
  </si>
  <si>
    <t>不锈钢链</t>
  </si>
  <si>
    <t>φ8mm，304不锈钢无档链</t>
  </si>
  <si>
    <t>00700050009</t>
  </si>
  <si>
    <t>卸扣</t>
  </si>
  <si>
    <t>M10-1.5</t>
  </si>
  <si>
    <t>M12*350（吊环）</t>
  </si>
  <si>
    <t>监控系统</t>
  </si>
  <si>
    <t>屋顶监控摄像头及固定底座、电缆等</t>
  </si>
  <si>
    <t>网箱监控摄像头及固定底座、电缆等</t>
  </si>
  <si>
    <t>网络信号放大器</t>
  </si>
  <si>
    <t>聚鱼灯</t>
  </si>
  <si>
    <t>AIS</t>
  </si>
  <si>
    <t>AIS:太阳能供电，防护等级IP67，双模定位功能</t>
  </si>
  <si>
    <t>固定杆：高度1.5m，用于安装AIS</t>
  </si>
  <si>
    <t>锚固系统</t>
  </si>
  <si>
    <t>网箱1（无中心平台）</t>
  </si>
  <si>
    <t>网箱2（有中心平台）</t>
  </si>
  <si>
    <t>方形网箱组+平台</t>
  </si>
  <si>
    <t>总计（网箱1+网箱2+方形网箱平台组）</t>
  </si>
  <si>
    <t>鳐锚</t>
  </si>
  <si>
    <t>750kg</t>
  </si>
  <si>
    <t>口</t>
  </si>
  <si>
    <t>600kg</t>
  </si>
  <si>
    <t>锚链</t>
  </si>
  <si>
    <t>300kg，30mm 17m/根，二级无挡，黑漆</t>
  </si>
  <si>
    <t>200kg，26mm，15m/根，二级无挡，黑漆</t>
  </si>
  <si>
    <t>锚缆绳</t>
  </si>
  <si>
    <t>PPφ50mm，40m/根</t>
  </si>
  <si>
    <t>分叉缆</t>
  </si>
  <si>
    <t>PPφ50mm，32m/根</t>
  </si>
  <si>
    <t>PPφ52mm，40m/根</t>
  </si>
  <si>
    <t>PPφ52mm，32m/根</t>
  </si>
  <si>
    <t>弓型，1 1/4，G2130</t>
  </si>
  <si>
    <t>弓型，1 3/8，G2130</t>
  </si>
  <si>
    <t>弓型，1 1/2，G2130</t>
  </si>
  <si>
    <t>套环</t>
  </si>
  <si>
    <t>2 G414</t>
  </si>
  <si>
    <t>1 7/8 G414</t>
  </si>
  <si>
    <t>卡头</t>
  </si>
  <si>
    <t>1 3/4 美式模锻</t>
  </si>
  <si>
    <t>2 美式模锻</t>
  </si>
  <si>
    <t>压缆坠石</t>
  </si>
  <si>
    <t>坠石栓绳</t>
  </si>
  <si>
    <t>PEφ16mm，2m/根</t>
  </si>
  <si>
    <t>锚点浮球</t>
  </si>
  <si>
    <t>ABS 280mm</t>
  </si>
  <si>
    <t>浮球绑绳</t>
  </si>
  <si>
    <t>锚点绳</t>
  </si>
  <si>
    <t>PPφ24mm，18m/根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</si>
</sst>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);[Red]\(0.0000\)"/>
  </numFmts>
  <fonts count="4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rgb="FFFF0000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sz val="10"/>
      <color theme="1"/>
      <name val="Arial"/>
      <charset val="134"/>
    </font>
    <font>
      <sz val="11"/>
      <color rgb="FFFF0000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sz val="11"/>
      <color theme="4"/>
      <name val="宋体"/>
      <charset val="134"/>
    </font>
    <font>
      <sz val="10"/>
      <color theme="5"/>
      <name val="Arial"/>
      <charset val="134"/>
    </font>
    <font>
      <sz val="10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5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6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11" fillId="0" borderId="0"/>
  </cellStyleXfs>
  <cellXfs count="12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49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1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/>
    </xf>
    <xf numFmtId="0" fontId="11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49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/>
    </xf>
    <xf numFmtId="176" fontId="10" fillId="0" borderId="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76" fontId="12" fillId="0" borderId="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20" fillId="0" borderId="1" xfId="49" applyFont="1" applyBorder="1"/>
    <xf numFmtId="0" fontId="0" fillId="2" borderId="1" xfId="0" applyFill="1" applyBorder="1">
      <alignment vertical="center"/>
    </xf>
    <xf numFmtId="0" fontId="18" fillId="2" borderId="1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8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/>
    </xf>
    <xf numFmtId="176" fontId="10" fillId="2" borderId="1" xfId="0" applyNumberFormat="1" applyFont="1" applyFill="1" applyBorder="1" applyAlignment="1">
      <alignment horizontal="center" vertical="center"/>
    </xf>
    <xf numFmtId="0" fontId="11" fillId="0" borderId="1" xfId="49" applyBorder="1" applyAlignment="1">
      <alignment horizontal="center"/>
    </xf>
    <xf numFmtId="0" fontId="12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12" fillId="2" borderId="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5" fillId="0" borderId="2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5" fillId="0" borderId="4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"/>
  <sheetViews>
    <sheetView tabSelected="1" zoomScale="115" zoomScaleNormal="115" workbookViewId="0">
      <pane ySplit="2" topLeftCell="A25" activePane="bottomLeft" state="frozen"/>
      <selection/>
      <selection pane="bottomLeft" activeCell="H41" sqref="H41"/>
    </sheetView>
  </sheetViews>
  <sheetFormatPr defaultColWidth="8.86111111111111" defaultRowHeight="14.4"/>
  <cols>
    <col min="1" max="1" width="13" customWidth="1"/>
    <col min="2" max="2" width="17.5277777777778" customWidth="1"/>
    <col min="3" max="3" width="46.6666666666667" customWidth="1"/>
    <col min="4" max="4" width="13.1296296296296" customWidth="1"/>
    <col min="5" max="5" width="15.7962962962963" style="1" customWidth="1"/>
    <col min="6" max="6" width="19.7777777777778" style="1" customWidth="1"/>
    <col min="7" max="7" width="15.7962962962963" style="2" customWidth="1"/>
    <col min="8" max="8" width="18.7777777777778" style="3" customWidth="1"/>
    <col min="9" max="9" width="20.7962962962963" customWidth="1"/>
    <col min="10" max="10" width="18.6666666666667" style="4" customWidth="1"/>
    <col min="11" max="11" width="12.8611111111111" style="4" customWidth="1"/>
    <col min="12" max="12" width="13.1296296296296" style="4" customWidth="1"/>
    <col min="13" max="13" width="12.8611111111111" style="5" customWidth="1"/>
    <col min="14" max="14" width="8.86111111111111" style="6"/>
    <col min="15" max="15" width="12.8888888888889" style="6"/>
  </cols>
  <sheetData>
    <row r="1" ht="17.4" spans="1:13">
      <c r="A1" s="7" t="s">
        <v>0</v>
      </c>
      <c r="B1" s="8"/>
      <c r="C1" s="8"/>
      <c r="D1" s="7"/>
      <c r="E1" s="9"/>
      <c r="F1" s="9"/>
      <c r="G1" s="10"/>
      <c r="H1" s="10"/>
      <c r="I1" s="7"/>
      <c r="J1" s="7"/>
      <c r="K1" s="7"/>
      <c r="L1" s="70"/>
      <c r="M1" s="71"/>
    </row>
    <row r="2" ht="43.2" spans="1:13">
      <c r="A2" s="11" t="s">
        <v>1</v>
      </c>
      <c r="B2" s="11" t="s">
        <v>2</v>
      </c>
      <c r="C2" s="11" t="s">
        <v>3</v>
      </c>
      <c r="D2" s="11" t="s">
        <v>4</v>
      </c>
      <c r="E2" s="12" t="s">
        <v>5</v>
      </c>
      <c r="F2" s="12" t="s">
        <v>6</v>
      </c>
      <c r="G2" s="13" t="s">
        <v>7</v>
      </c>
      <c r="H2" s="14" t="s">
        <v>8</v>
      </c>
      <c r="I2" s="55" t="s">
        <v>9</v>
      </c>
      <c r="J2" s="11" t="s">
        <v>10</v>
      </c>
      <c r="K2" s="11" t="s">
        <v>11</v>
      </c>
      <c r="L2" s="11" t="s">
        <v>12</v>
      </c>
      <c r="M2" s="11" t="s">
        <v>13</v>
      </c>
    </row>
    <row r="3" spans="1:15">
      <c r="A3" s="15"/>
      <c r="B3" s="11" t="s">
        <v>14</v>
      </c>
      <c r="C3" s="16" t="s">
        <v>15</v>
      </c>
      <c r="D3" s="11" t="s">
        <v>16</v>
      </c>
      <c r="E3" s="17">
        <f>30.2*3.14*3+5.55*8+1</f>
        <v>329.884</v>
      </c>
      <c r="F3" s="17">
        <f>30.2*3.14*3+5.55*4+6.12*6+11.2*8+0.3*14+4</f>
        <v>441.204</v>
      </c>
      <c r="G3" s="18">
        <f>51.5*2+45.3*11+23.2*10+7.3*3*8+0.5</f>
        <v>1009</v>
      </c>
      <c r="H3" s="19">
        <v>0</v>
      </c>
      <c r="I3" s="11">
        <f t="shared" ref="I3:I14" si="0">E3+F3+G3+H3</f>
        <v>1780.088</v>
      </c>
      <c r="J3" s="72">
        <v>29.37943141056</v>
      </c>
      <c r="K3" s="11">
        <f t="shared" ref="K3:K14" si="1">I3*J3</f>
        <v>52297.9733007609</v>
      </c>
      <c r="L3" s="15">
        <f>0.4*0.4</f>
        <v>0.16</v>
      </c>
      <c r="M3" s="11">
        <f t="shared" ref="M3:M14" si="2">L3*I3</f>
        <v>284.81408</v>
      </c>
      <c r="N3" s="73"/>
      <c r="O3" s="73"/>
    </row>
    <row r="4" spans="1:15">
      <c r="A4" s="15"/>
      <c r="B4" s="11" t="s">
        <v>17</v>
      </c>
      <c r="C4" s="16" t="s">
        <v>18</v>
      </c>
      <c r="D4" s="11" t="s">
        <v>16</v>
      </c>
      <c r="E4" s="17">
        <v>0</v>
      </c>
      <c r="F4" s="17">
        <v>0</v>
      </c>
      <c r="G4" s="18">
        <v>0</v>
      </c>
      <c r="H4" s="20">
        <f>20*34+9.1*20+0.55*(19+33*2+10)</f>
        <v>914.25</v>
      </c>
      <c r="I4" s="11">
        <f t="shared" si="0"/>
        <v>914.25</v>
      </c>
      <c r="J4" s="72">
        <v>46.02</v>
      </c>
      <c r="K4" s="11">
        <f t="shared" si="1"/>
        <v>42073.785</v>
      </c>
      <c r="L4" s="15">
        <v>0.25</v>
      </c>
      <c r="M4" s="11">
        <f t="shared" si="2"/>
        <v>228.5625</v>
      </c>
      <c r="N4" s="73"/>
      <c r="O4" s="73"/>
    </row>
    <row r="5" spans="1:15">
      <c r="A5" s="15"/>
      <c r="B5" s="16" t="s">
        <v>19</v>
      </c>
      <c r="C5" s="16" t="s">
        <v>20</v>
      </c>
      <c r="D5" s="15" t="s">
        <v>21</v>
      </c>
      <c r="E5" s="17">
        <f>E3/0.98</f>
        <v>336.616326530612</v>
      </c>
      <c r="F5" s="21">
        <f>F3/0.98</f>
        <v>450.208163265306</v>
      </c>
      <c r="G5" s="22">
        <f>1010</f>
        <v>1010</v>
      </c>
      <c r="H5" s="23">
        <v>0</v>
      </c>
      <c r="I5" s="11">
        <f t="shared" si="0"/>
        <v>1796.82448979592</v>
      </c>
      <c r="J5" s="15">
        <v>2</v>
      </c>
      <c r="K5" s="11">
        <f t="shared" si="1"/>
        <v>3593.64897959184</v>
      </c>
      <c r="L5" s="15">
        <v>0</v>
      </c>
      <c r="M5" s="11">
        <f t="shared" si="2"/>
        <v>0</v>
      </c>
      <c r="N5" s="73"/>
      <c r="O5" s="74"/>
    </row>
    <row r="6" spans="1:15">
      <c r="A6" s="15"/>
      <c r="B6" s="16" t="s">
        <v>19</v>
      </c>
      <c r="C6" s="16" t="s">
        <v>22</v>
      </c>
      <c r="D6" s="15" t="s">
        <v>21</v>
      </c>
      <c r="E6" s="17">
        <v>0</v>
      </c>
      <c r="F6" s="21">
        <v>0</v>
      </c>
      <c r="G6" s="18">
        <v>0</v>
      </c>
      <c r="H6" s="23">
        <f>ROUNDUP((H4-0.55*(19+33*2+10))/0.98,0)</f>
        <v>880</v>
      </c>
      <c r="I6" s="11">
        <f t="shared" si="0"/>
        <v>880</v>
      </c>
      <c r="J6" s="15">
        <v>2.5</v>
      </c>
      <c r="K6" s="11">
        <f t="shared" si="1"/>
        <v>2200</v>
      </c>
      <c r="L6" s="11">
        <v>0</v>
      </c>
      <c r="M6" s="11">
        <f t="shared" si="2"/>
        <v>0</v>
      </c>
      <c r="N6" s="73"/>
      <c r="O6" s="74"/>
    </row>
    <row r="7" spans="1:15">
      <c r="A7" s="15"/>
      <c r="B7" s="11" t="s">
        <v>23</v>
      </c>
      <c r="C7" s="16" t="s">
        <v>24</v>
      </c>
      <c r="D7" s="11" t="s">
        <v>16</v>
      </c>
      <c r="E7" s="21">
        <f>(30.2*3.14*2+0.55*2*8-0.8)*3</f>
        <v>592.968</v>
      </c>
      <c r="F7" s="17">
        <f>(30.2*3.14*2+0.55*2*4-1.8*8+27.8*4-1.6*4)*3+3</f>
        <v>856.368</v>
      </c>
      <c r="G7" s="23">
        <f>(52.5*2+24*2-1.8*2-26.2)*3</f>
        <v>369.6</v>
      </c>
      <c r="H7" s="19">
        <f>(9.8*2+9.3*2+19.5*2+44.5-4-1.5*4)*3+0.3*2*5</f>
        <v>338.1</v>
      </c>
      <c r="I7" s="11">
        <f t="shared" si="0"/>
        <v>2157.036</v>
      </c>
      <c r="J7" s="72">
        <v>2.16597737664</v>
      </c>
      <c r="K7" s="11">
        <f t="shared" si="1"/>
        <v>4672.09117659804</v>
      </c>
      <c r="L7" s="75">
        <v>0.0081</v>
      </c>
      <c r="M7" s="11">
        <f t="shared" si="2"/>
        <v>17.4719916</v>
      </c>
      <c r="N7" s="73"/>
      <c r="O7" s="73"/>
    </row>
    <row r="8" spans="1:15">
      <c r="A8" s="15"/>
      <c r="B8" s="11" t="s">
        <v>25</v>
      </c>
      <c r="C8" s="24" t="s">
        <v>26</v>
      </c>
      <c r="D8" s="11" t="s">
        <v>16</v>
      </c>
      <c r="E8" s="25">
        <v>0</v>
      </c>
      <c r="F8" s="17">
        <v>0</v>
      </c>
      <c r="G8" s="18">
        <f>7.5*4*10*2</f>
        <v>600</v>
      </c>
      <c r="H8" s="19">
        <v>0</v>
      </c>
      <c r="I8" s="11">
        <f t="shared" si="0"/>
        <v>600</v>
      </c>
      <c r="J8" s="72">
        <v>3.217815216</v>
      </c>
      <c r="K8" s="11">
        <f t="shared" si="1"/>
        <v>1930.6891296</v>
      </c>
      <c r="L8" s="15">
        <f>0.11*0.11</f>
        <v>0.0121</v>
      </c>
      <c r="M8" s="11">
        <f t="shared" si="2"/>
        <v>7.26</v>
      </c>
      <c r="N8" s="73"/>
      <c r="O8" s="73"/>
    </row>
    <row r="9" ht="15.6" spans="1:15">
      <c r="A9" s="15" t="s">
        <v>27</v>
      </c>
      <c r="B9" s="16" t="s">
        <v>28</v>
      </c>
      <c r="C9" s="26" t="s">
        <v>29</v>
      </c>
      <c r="D9" s="11" t="s">
        <v>30</v>
      </c>
      <c r="E9" s="17">
        <f>72+5*8</f>
        <v>112</v>
      </c>
      <c r="F9" s="27">
        <f>72+5*4</f>
        <v>92</v>
      </c>
      <c r="G9" s="20">
        <f>18*4+(5*6+2*4)*5+6*8-2</f>
        <v>308</v>
      </c>
      <c r="H9" s="28">
        <v>0</v>
      </c>
      <c r="I9" s="11">
        <f t="shared" si="0"/>
        <v>512</v>
      </c>
      <c r="J9" s="15">
        <v>41</v>
      </c>
      <c r="K9" s="11">
        <f t="shared" si="1"/>
        <v>20992</v>
      </c>
      <c r="L9" s="53">
        <f>1.3*0.145*0.677</f>
        <v>0.1276145</v>
      </c>
      <c r="M9" s="11">
        <f t="shared" si="2"/>
        <v>65.338624</v>
      </c>
      <c r="N9" s="73"/>
      <c r="O9" s="76"/>
    </row>
    <row r="10" spans="1:15">
      <c r="A10" s="29" t="s">
        <v>31</v>
      </c>
      <c r="B10" s="30" t="s">
        <v>32</v>
      </c>
      <c r="C10" s="30" t="s">
        <v>33</v>
      </c>
      <c r="D10" s="11" t="s">
        <v>30</v>
      </c>
      <c r="E10" s="17">
        <v>0</v>
      </c>
      <c r="F10" s="17">
        <f>5*6+7*2*2+8*2*2</f>
        <v>90</v>
      </c>
      <c r="G10" s="31">
        <v>0</v>
      </c>
      <c r="H10" s="19">
        <v>0</v>
      </c>
      <c r="I10" s="11">
        <f t="shared" si="0"/>
        <v>90</v>
      </c>
      <c r="J10" s="15">
        <v>25.3</v>
      </c>
      <c r="K10" s="11">
        <f t="shared" si="1"/>
        <v>2277</v>
      </c>
      <c r="L10" s="15">
        <f>1*0.8*0.12</f>
        <v>0.096</v>
      </c>
      <c r="M10" s="11">
        <f t="shared" si="2"/>
        <v>8.64</v>
      </c>
      <c r="N10" s="73"/>
      <c r="O10" s="73"/>
    </row>
    <row r="11" spans="1:15">
      <c r="A11" s="124" t="s">
        <v>34</v>
      </c>
      <c r="B11" s="30" t="s">
        <v>32</v>
      </c>
      <c r="C11" s="30" t="s">
        <v>35</v>
      </c>
      <c r="D11" s="11" t="s">
        <v>30</v>
      </c>
      <c r="E11" s="17">
        <v>0</v>
      </c>
      <c r="F11" s="17">
        <v>0</v>
      </c>
      <c r="G11" s="31">
        <v>0</v>
      </c>
      <c r="H11" s="32">
        <f>34*14+20*6</f>
        <v>596</v>
      </c>
      <c r="I11" s="11">
        <f t="shared" si="0"/>
        <v>596</v>
      </c>
      <c r="J11" s="15">
        <v>26.5</v>
      </c>
      <c r="K11" s="11">
        <f t="shared" si="1"/>
        <v>15794</v>
      </c>
      <c r="L11" s="15">
        <f>1.32*0.15*1.025</f>
        <v>0.20295</v>
      </c>
      <c r="M11" s="11">
        <f t="shared" si="2"/>
        <v>120.9582</v>
      </c>
      <c r="N11" s="73"/>
      <c r="O11" s="73"/>
    </row>
    <row r="12" ht="15.6" spans="1:15">
      <c r="A12" s="15"/>
      <c r="B12" s="16" t="s">
        <v>36</v>
      </c>
      <c r="C12" s="16" t="s">
        <v>37</v>
      </c>
      <c r="D12" s="15" t="s">
        <v>21</v>
      </c>
      <c r="E12" s="17">
        <f>72*2</f>
        <v>144</v>
      </c>
      <c r="F12" s="17">
        <f>72*2-2*4</f>
        <v>136</v>
      </c>
      <c r="G12" s="19">
        <f>(5*4+3*4+6)*2+(8*2+2)*2-4-21</f>
        <v>87</v>
      </c>
      <c r="H12" s="19">
        <v>0</v>
      </c>
      <c r="I12" s="11">
        <f t="shared" si="0"/>
        <v>367</v>
      </c>
      <c r="J12" s="15"/>
      <c r="K12" s="11">
        <f t="shared" si="1"/>
        <v>0</v>
      </c>
      <c r="L12" s="53">
        <v>0.025</v>
      </c>
      <c r="M12" s="11">
        <f t="shared" si="2"/>
        <v>9.175</v>
      </c>
      <c r="N12" s="73"/>
      <c r="O12" s="73"/>
    </row>
    <row r="13" ht="15.6" spans="1:15">
      <c r="A13" s="15"/>
      <c r="B13" s="16" t="s">
        <v>38</v>
      </c>
      <c r="C13" s="33" t="s">
        <v>39</v>
      </c>
      <c r="D13" s="15" t="s">
        <v>21</v>
      </c>
      <c r="E13" s="17">
        <v>0</v>
      </c>
      <c r="F13" s="17">
        <v>0</v>
      </c>
      <c r="G13" s="18">
        <f>4*6*10</f>
        <v>240</v>
      </c>
      <c r="H13" s="19">
        <v>0</v>
      </c>
      <c r="I13" s="11">
        <f t="shared" si="0"/>
        <v>240</v>
      </c>
      <c r="J13" s="15"/>
      <c r="K13" s="11">
        <f t="shared" si="1"/>
        <v>0</v>
      </c>
      <c r="L13" s="53">
        <v>0.019</v>
      </c>
      <c r="M13" s="11">
        <f t="shared" si="2"/>
        <v>4.56</v>
      </c>
      <c r="N13" s="73"/>
      <c r="O13" s="73"/>
    </row>
    <row r="14" spans="1:15">
      <c r="A14" s="34"/>
      <c r="B14" s="16" t="s">
        <v>40</v>
      </c>
      <c r="C14" s="16" t="s">
        <v>41</v>
      </c>
      <c r="D14" s="11" t="s">
        <v>42</v>
      </c>
      <c r="E14" s="17">
        <v>0</v>
      </c>
      <c r="F14" s="17">
        <f>7*4+8*4+4*4</f>
        <v>76</v>
      </c>
      <c r="G14" s="31">
        <v>0</v>
      </c>
      <c r="H14" s="20">
        <f>6*2+7*2+12+1+8+9+3+8+3+7</f>
        <v>77</v>
      </c>
      <c r="I14" s="11">
        <f t="shared" si="0"/>
        <v>153</v>
      </c>
      <c r="J14" s="15"/>
      <c r="K14" s="11">
        <f t="shared" si="1"/>
        <v>0</v>
      </c>
      <c r="L14" s="15">
        <v>0.027</v>
      </c>
      <c r="M14" s="11">
        <f t="shared" si="2"/>
        <v>4.131</v>
      </c>
      <c r="N14" s="73"/>
      <c r="O14" s="73"/>
    </row>
    <row r="15" spans="1:15">
      <c r="A15" s="34"/>
      <c r="B15" s="35" t="s">
        <v>43</v>
      </c>
      <c r="C15" s="35" t="s">
        <v>44</v>
      </c>
      <c r="D15" s="15" t="s">
        <v>30</v>
      </c>
      <c r="E15" s="17">
        <v>0</v>
      </c>
      <c r="F15" s="17">
        <v>0</v>
      </c>
      <c r="G15" s="19">
        <f>4*2+8</f>
        <v>16</v>
      </c>
      <c r="H15" s="20">
        <v>0</v>
      </c>
      <c r="I15" s="11"/>
      <c r="J15" s="15"/>
      <c r="K15" s="11"/>
      <c r="L15" s="15"/>
      <c r="M15" s="11"/>
      <c r="N15" s="73"/>
      <c r="O15" s="73"/>
    </row>
    <row r="16" spans="1:15">
      <c r="A16" s="34"/>
      <c r="B16" s="35" t="s">
        <v>43</v>
      </c>
      <c r="C16" s="35" t="s">
        <v>45</v>
      </c>
      <c r="D16" s="15" t="s">
        <v>30</v>
      </c>
      <c r="E16" s="17">
        <v>0</v>
      </c>
      <c r="F16" s="17">
        <v>0</v>
      </c>
      <c r="G16" s="31">
        <v>0</v>
      </c>
      <c r="H16" s="20">
        <f>4*2+17*3+16+20+12+6+6</f>
        <v>119</v>
      </c>
      <c r="I16" s="11">
        <f t="shared" ref="I16:I36" si="3">E16+F16+G16+H16</f>
        <v>119</v>
      </c>
      <c r="J16" s="15">
        <v>100</v>
      </c>
      <c r="K16" s="11">
        <f t="shared" ref="K16:K29" si="4">I16*J16</f>
        <v>11900</v>
      </c>
      <c r="L16" s="15">
        <f>1.1*1.1*1.1</f>
        <v>1.331</v>
      </c>
      <c r="M16" s="11">
        <f t="shared" ref="M16:M37" si="5">L16*I16</f>
        <v>158.389</v>
      </c>
      <c r="N16" s="73"/>
      <c r="O16" s="73"/>
    </row>
    <row r="17" spans="1:15">
      <c r="A17" s="124" t="s">
        <v>46</v>
      </c>
      <c r="B17" s="11" t="s">
        <v>47</v>
      </c>
      <c r="C17" s="11" t="s">
        <v>48</v>
      </c>
      <c r="D17" s="11" t="s">
        <v>30</v>
      </c>
      <c r="E17" s="17">
        <f>2*8</f>
        <v>16</v>
      </c>
      <c r="F17" s="17">
        <f>4*2+4*2</f>
        <v>16</v>
      </c>
      <c r="G17" s="31">
        <v>0</v>
      </c>
      <c r="H17" s="19">
        <v>0</v>
      </c>
      <c r="I17" s="11">
        <f t="shared" si="3"/>
        <v>32</v>
      </c>
      <c r="J17" s="15">
        <v>8.8</v>
      </c>
      <c r="K17" s="11">
        <f t="shared" si="4"/>
        <v>281.6</v>
      </c>
      <c r="L17" s="15">
        <f>0.4*0.4*0.14</f>
        <v>0.0224</v>
      </c>
      <c r="M17" s="11">
        <f t="shared" si="5"/>
        <v>0.7168</v>
      </c>
      <c r="N17" s="73"/>
      <c r="O17" s="73"/>
    </row>
    <row r="18" ht="15.6" spans="1:15">
      <c r="A18" s="124" t="s">
        <v>49</v>
      </c>
      <c r="B18" s="11" t="s">
        <v>47</v>
      </c>
      <c r="C18" s="11" t="s">
        <v>50</v>
      </c>
      <c r="D18" s="11" t="s">
        <v>30</v>
      </c>
      <c r="E18" s="17">
        <v>0</v>
      </c>
      <c r="F18" s="17">
        <v>0</v>
      </c>
      <c r="G18" s="31">
        <v>0</v>
      </c>
      <c r="H18" s="20">
        <f>34+7*2</f>
        <v>48</v>
      </c>
      <c r="I18" s="11">
        <f t="shared" si="3"/>
        <v>48</v>
      </c>
      <c r="J18" s="15">
        <v>10</v>
      </c>
      <c r="K18" s="11">
        <f t="shared" si="4"/>
        <v>480</v>
      </c>
      <c r="L18" s="53">
        <f>0.5*0.5*0.14</f>
        <v>0.035</v>
      </c>
      <c r="M18" s="11">
        <f t="shared" si="5"/>
        <v>1.68</v>
      </c>
      <c r="N18" s="73"/>
      <c r="O18" s="73"/>
    </row>
    <row r="19" ht="15.6" spans="1:15">
      <c r="A19" s="15" t="s">
        <v>51</v>
      </c>
      <c r="B19" s="16" t="s">
        <v>52</v>
      </c>
      <c r="C19" s="16" t="s">
        <v>48</v>
      </c>
      <c r="D19" s="15" t="s">
        <v>30</v>
      </c>
      <c r="E19" s="17">
        <f>E9*4*1.2</f>
        <v>537.6</v>
      </c>
      <c r="F19" s="17">
        <f>F9*4*1.2+F10*2*1.2+(F26+F27)*1.2</f>
        <v>724.8</v>
      </c>
      <c r="G19" s="19">
        <f>G9*2*1.2+16*2*2*1.2</f>
        <v>816</v>
      </c>
      <c r="H19" s="19">
        <f>H26*2*1.2</f>
        <v>48</v>
      </c>
      <c r="I19" s="11">
        <f t="shared" si="3"/>
        <v>2126.4</v>
      </c>
      <c r="J19" s="11">
        <v>0.153</v>
      </c>
      <c r="K19" s="11">
        <f t="shared" si="4"/>
        <v>325.3392</v>
      </c>
      <c r="L19" s="53">
        <f>0.125*0.055*0.04</f>
        <v>0.000275</v>
      </c>
      <c r="M19" s="11">
        <f t="shared" si="5"/>
        <v>0.58476</v>
      </c>
      <c r="N19" s="73"/>
      <c r="O19" s="73"/>
    </row>
    <row r="20" spans="1:15">
      <c r="A20" s="125" t="s">
        <v>53</v>
      </c>
      <c r="B20" s="36" t="s">
        <v>52</v>
      </c>
      <c r="C20" s="11" t="s">
        <v>50</v>
      </c>
      <c r="D20" s="36" t="s">
        <v>30</v>
      </c>
      <c r="E20" s="17">
        <v>0</v>
      </c>
      <c r="F20" s="27">
        <v>0</v>
      </c>
      <c r="G20" s="18">
        <v>0</v>
      </c>
      <c r="H20" s="32">
        <f>H11*2*1.2</f>
        <v>1430.4</v>
      </c>
      <c r="I20" s="11">
        <f t="shared" si="3"/>
        <v>1430.4</v>
      </c>
      <c r="J20" s="15">
        <v>0.163</v>
      </c>
      <c r="K20" s="11">
        <f t="shared" si="4"/>
        <v>233.1552</v>
      </c>
      <c r="L20" s="15"/>
      <c r="M20" s="11">
        <f t="shared" si="5"/>
        <v>0</v>
      </c>
      <c r="N20" s="73"/>
      <c r="O20" s="76"/>
    </row>
    <row r="21" spans="1:15">
      <c r="A21" s="125" t="s">
        <v>54</v>
      </c>
      <c r="B21" s="37" t="s">
        <v>55</v>
      </c>
      <c r="C21" s="38" t="s">
        <v>56</v>
      </c>
      <c r="D21" s="15" t="s">
        <v>16</v>
      </c>
      <c r="E21" s="17">
        <v>0</v>
      </c>
      <c r="F21" s="27">
        <f>11.8*6*4+6.2*18</f>
        <v>394.8</v>
      </c>
      <c r="G21" s="18">
        <f>45.8*25+23.8*10*2+8*5*8+1.7*9*2+3.2*4*2</f>
        <v>1997.2</v>
      </c>
      <c r="H21" s="39">
        <f>20*135+10*79+26*2</f>
        <v>3542</v>
      </c>
      <c r="I21" s="11">
        <f t="shared" si="3"/>
        <v>5934</v>
      </c>
      <c r="J21" s="15">
        <v>3.5</v>
      </c>
      <c r="K21" s="11">
        <f t="shared" si="4"/>
        <v>20769</v>
      </c>
      <c r="L21" s="15">
        <f>0.15*0.06</f>
        <v>0.009</v>
      </c>
      <c r="M21" s="11">
        <f t="shared" si="5"/>
        <v>53.406</v>
      </c>
      <c r="N21" s="73"/>
      <c r="O21" s="76"/>
    </row>
    <row r="22" spans="1:15">
      <c r="A22" s="15" t="s">
        <v>57</v>
      </c>
      <c r="B22" s="40" t="s">
        <v>58</v>
      </c>
      <c r="C22" s="16" t="s">
        <v>59</v>
      </c>
      <c r="D22" s="15" t="s">
        <v>16</v>
      </c>
      <c r="E22" s="17">
        <f>30.2*3.14*10+5.6*5*8+0.2*10+1.5*8</f>
        <v>1186.28</v>
      </c>
      <c r="F22" s="27">
        <f>30.2*3.14*10+5.6*5*4+2*4+0.2*10+1.5*4</f>
        <v>1076.28</v>
      </c>
      <c r="G22" s="41">
        <v>0</v>
      </c>
      <c r="H22" s="39">
        <f>26*4</f>
        <v>104</v>
      </c>
      <c r="I22" s="11">
        <f t="shared" si="3"/>
        <v>2366.56</v>
      </c>
      <c r="J22" s="15">
        <v>3.5</v>
      </c>
      <c r="K22" s="11">
        <f t="shared" si="4"/>
        <v>8282.96</v>
      </c>
      <c r="L22" s="15">
        <f>0.15*0.06</f>
        <v>0.009</v>
      </c>
      <c r="M22" s="11">
        <f t="shared" si="5"/>
        <v>21.29904</v>
      </c>
      <c r="N22" s="73"/>
      <c r="O22" s="76"/>
    </row>
    <row r="23" ht="15.6" spans="1:15">
      <c r="A23" s="15" t="s">
        <v>60</v>
      </c>
      <c r="B23" s="16" t="s">
        <v>61</v>
      </c>
      <c r="C23" s="16" t="s">
        <v>48</v>
      </c>
      <c r="D23" s="15" t="s">
        <v>30</v>
      </c>
      <c r="E23" s="17">
        <v>0</v>
      </c>
      <c r="F23" s="27">
        <v>0</v>
      </c>
      <c r="G23" s="41">
        <v>4</v>
      </c>
      <c r="H23" s="20">
        <v>0</v>
      </c>
      <c r="I23" s="11">
        <f t="shared" si="3"/>
        <v>4</v>
      </c>
      <c r="J23" s="15">
        <v>15.35</v>
      </c>
      <c r="K23" s="11">
        <f t="shared" si="4"/>
        <v>61.4</v>
      </c>
      <c r="L23" s="53">
        <f>0.53*0.53*0.4</f>
        <v>0.11236</v>
      </c>
      <c r="M23" s="11">
        <f t="shared" si="5"/>
        <v>0.44944</v>
      </c>
      <c r="N23" s="73"/>
      <c r="O23" s="76"/>
    </row>
    <row r="24" ht="15.6" spans="1:15">
      <c r="A24" s="125" t="s">
        <v>62</v>
      </c>
      <c r="B24" s="16" t="s">
        <v>61</v>
      </c>
      <c r="C24" s="16" t="s">
        <v>63</v>
      </c>
      <c r="D24" s="15" t="s">
        <v>30</v>
      </c>
      <c r="E24" s="17">
        <v>0</v>
      </c>
      <c r="F24" s="27">
        <v>0</v>
      </c>
      <c r="G24" s="41">
        <v>80</v>
      </c>
      <c r="H24" s="28">
        <v>0</v>
      </c>
      <c r="I24" s="11">
        <f t="shared" si="3"/>
        <v>80</v>
      </c>
      <c r="J24" s="11">
        <v>1</v>
      </c>
      <c r="K24" s="11">
        <f t="shared" si="4"/>
        <v>80</v>
      </c>
      <c r="L24" s="53">
        <f>0.175*0.175*0.11</f>
        <v>0.00336875</v>
      </c>
      <c r="M24" s="11">
        <f t="shared" si="5"/>
        <v>0.2695</v>
      </c>
      <c r="N24" s="73"/>
      <c r="O24" s="76"/>
    </row>
    <row r="25" ht="15.6" spans="1:15">
      <c r="A25" s="15" t="s">
        <v>64</v>
      </c>
      <c r="B25" s="11" t="s">
        <v>61</v>
      </c>
      <c r="C25" s="11" t="s">
        <v>65</v>
      </c>
      <c r="D25" s="15" t="s">
        <v>30</v>
      </c>
      <c r="E25" s="17">
        <f>3*4*8+4</f>
        <v>100</v>
      </c>
      <c r="F25" s="17">
        <f>3*4*4+4*2*4+3*3*4+4*4</f>
        <v>132</v>
      </c>
      <c r="G25" s="19">
        <f>24</f>
        <v>24</v>
      </c>
      <c r="H25" s="20">
        <f>6*3+6*4</f>
        <v>42</v>
      </c>
      <c r="I25" s="11">
        <f t="shared" si="3"/>
        <v>298</v>
      </c>
      <c r="J25" s="11">
        <v>1</v>
      </c>
      <c r="K25" s="11">
        <f t="shared" si="4"/>
        <v>298</v>
      </c>
      <c r="L25" s="53">
        <f>0.175*0.175*0.11</f>
        <v>0.00336875</v>
      </c>
      <c r="M25" s="11">
        <f t="shared" si="5"/>
        <v>1.0038875</v>
      </c>
      <c r="N25" s="73"/>
      <c r="O25" s="73"/>
    </row>
    <row r="26" ht="15.6" spans="1:15">
      <c r="A26" s="15" t="s">
        <v>66</v>
      </c>
      <c r="B26" s="16" t="s">
        <v>67</v>
      </c>
      <c r="C26" s="16" t="s">
        <v>68</v>
      </c>
      <c r="D26" s="11" t="s">
        <v>30</v>
      </c>
      <c r="E26" s="17">
        <v>0</v>
      </c>
      <c r="F26" s="27">
        <v>16</v>
      </c>
      <c r="G26" s="41">
        <f>8*2+8*2+3*2+6*8</f>
        <v>86</v>
      </c>
      <c r="H26" s="28">
        <f>20</f>
        <v>20</v>
      </c>
      <c r="I26" s="11">
        <f t="shared" si="3"/>
        <v>122</v>
      </c>
      <c r="J26" s="15">
        <v>8.1</v>
      </c>
      <c r="K26" s="11">
        <f t="shared" si="4"/>
        <v>988.2</v>
      </c>
      <c r="L26" s="53">
        <f>0.45*0.234*0.57</f>
        <v>0.060021</v>
      </c>
      <c r="M26" s="11">
        <f t="shared" si="5"/>
        <v>7.322562</v>
      </c>
      <c r="N26" s="73"/>
      <c r="O26" s="76"/>
    </row>
    <row r="27" ht="15.6" spans="1:15">
      <c r="A27" s="15" t="s">
        <v>69</v>
      </c>
      <c r="B27" s="16" t="s">
        <v>67</v>
      </c>
      <c r="C27" s="16" t="s">
        <v>70</v>
      </c>
      <c r="D27" s="11" t="s">
        <v>30</v>
      </c>
      <c r="E27" s="21">
        <v>0</v>
      </c>
      <c r="F27" s="27">
        <f>F26+12*2</f>
        <v>40</v>
      </c>
      <c r="G27" s="41">
        <f>G26+16*2</f>
        <v>118</v>
      </c>
      <c r="H27" s="28">
        <f>20</f>
        <v>20</v>
      </c>
      <c r="I27" s="11">
        <f t="shared" si="3"/>
        <v>178</v>
      </c>
      <c r="J27" s="15">
        <v>13.3</v>
      </c>
      <c r="K27" s="11">
        <f t="shared" si="4"/>
        <v>2367.4</v>
      </c>
      <c r="L27" s="53">
        <f>0.45*0.375*0.57</f>
        <v>0.0961875</v>
      </c>
      <c r="M27" s="11">
        <f t="shared" si="5"/>
        <v>17.121375</v>
      </c>
      <c r="N27" s="73"/>
      <c r="O27" s="76"/>
    </row>
    <row r="28" ht="15.6" spans="1:15">
      <c r="A28" s="125" t="s">
        <v>71</v>
      </c>
      <c r="B28" s="16" t="s">
        <v>67</v>
      </c>
      <c r="C28" s="11" t="s">
        <v>72</v>
      </c>
      <c r="D28" s="11" t="s">
        <v>30</v>
      </c>
      <c r="E28" s="21">
        <v>0</v>
      </c>
      <c r="F28" s="27">
        <v>0</v>
      </c>
      <c r="G28" s="41">
        <v>0</v>
      </c>
      <c r="H28" s="20">
        <f>3*2+8*3</f>
        <v>30</v>
      </c>
      <c r="I28" s="11">
        <f t="shared" si="3"/>
        <v>30</v>
      </c>
      <c r="J28" s="15">
        <v>15</v>
      </c>
      <c r="K28" s="11">
        <f t="shared" si="4"/>
        <v>450</v>
      </c>
      <c r="L28" s="53">
        <f>0.56*0.291*0.684</f>
        <v>0.11146464</v>
      </c>
      <c r="M28" s="11">
        <f t="shared" si="5"/>
        <v>3.3439392</v>
      </c>
      <c r="N28" s="73"/>
      <c r="O28" s="76"/>
    </row>
    <row r="29" ht="15.6" spans="1:15">
      <c r="A29" s="125" t="s">
        <v>73</v>
      </c>
      <c r="B29" s="16" t="s">
        <v>67</v>
      </c>
      <c r="C29" s="36" t="s">
        <v>74</v>
      </c>
      <c r="D29" s="11" t="s">
        <v>30</v>
      </c>
      <c r="E29" s="21">
        <v>0</v>
      </c>
      <c r="F29" s="27">
        <v>0</v>
      </c>
      <c r="G29" s="41">
        <v>0</v>
      </c>
      <c r="H29" s="42">
        <f>3*2+18*2+32*2*2+8*3*2+10*2</f>
        <v>238</v>
      </c>
      <c r="I29" s="11">
        <f t="shared" si="3"/>
        <v>238</v>
      </c>
      <c r="J29" s="15">
        <v>22.8</v>
      </c>
      <c r="K29" s="11">
        <f t="shared" si="4"/>
        <v>5426.4</v>
      </c>
      <c r="L29" s="53">
        <f>0.445*0.56*0.684</f>
        <v>0.1704528</v>
      </c>
      <c r="M29" s="11">
        <f t="shared" si="5"/>
        <v>40.5677664</v>
      </c>
      <c r="N29" s="73"/>
      <c r="O29" s="76"/>
    </row>
    <row r="30" ht="15.6" spans="1:15">
      <c r="A30" s="35"/>
      <c r="B30" s="35" t="s">
        <v>75</v>
      </c>
      <c r="C30" s="35" t="s">
        <v>76</v>
      </c>
      <c r="D30" s="43" t="s">
        <v>42</v>
      </c>
      <c r="E30" s="44">
        <v>0</v>
      </c>
      <c r="F30" s="45">
        <v>0</v>
      </c>
      <c r="G30" s="28">
        <f>4*2+8</f>
        <v>16</v>
      </c>
      <c r="H30" s="32">
        <v>0</v>
      </c>
      <c r="I30" s="11">
        <f t="shared" si="3"/>
        <v>16</v>
      </c>
      <c r="J30" s="35"/>
      <c r="K30" s="43"/>
      <c r="L30" s="53">
        <f>0.45*0.234*0.57</f>
        <v>0.060021</v>
      </c>
      <c r="M30" s="11">
        <f t="shared" si="5"/>
        <v>0.960336</v>
      </c>
      <c r="N30" s="73"/>
      <c r="O30" s="77"/>
    </row>
    <row r="31" ht="15.6" spans="1:15">
      <c r="A31" s="35"/>
      <c r="B31" s="35" t="s">
        <v>75</v>
      </c>
      <c r="C31" s="43" t="s">
        <v>77</v>
      </c>
      <c r="D31" s="43" t="s">
        <v>42</v>
      </c>
      <c r="E31" s="44">
        <v>0</v>
      </c>
      <c r="F31" s="45">
        <v>0</v>
      </c>
      <c r="G31" s="41">
        <v>0</v>
      </c>
      <c r="H31" s="32">
        <f>10</f>
        <v>10</v>
      </c>
      <c r="I31" s="11">
        <f t="shared" si="3"/>
        <v>10</v>
      </c>
      <c r="J31" s="35"/>
      <c r="K31" s="43"/>
      <c r="L31" s="53">
        <f>0.56*0.291*0.684</f>
        <v>0.11146464</v>
      </c>
      <c r="M31" s="11">
        <f t="shared" si="5"/>
        <v>1.1146464</v>
      </c>
      <c r="N31" s="73"/>
      <c r="O31" s="77"/>
    </row>
    <row r="32" spans="1:15">
      <c r="A32" s="125" t="s">
        <v>78</v>
      </c>
      <c r="B32" s="40" t="s">
        <v>79</v>
      </c>
      <c r="C32" s="16" t="s">
        <v>80</v>
      </c>
      <c r="D32" s="11" t="s">
        <v>16</v>
      </c>
      <c r="E32" s="21">
        <v>0</v>
      </c>
      <c r="F32" s="27">
        <v>0</v>
      </c>
      <c r="G32" s="41">
        <v>0</v>
      </c>
      <c r="H32" s="39">
        <f>H33*2</f>
        <v>243.6</v>
      </c>
      <c r="I32" s="11">
        <f t="shared" si="3"/>
        <v>243.6</v>
      </c>
      <c r="J32" s="11">
        <v>4.7</v>
      </c>
      <c r="K32" s="11">
        <f t="shared" ref="K32:K37" si="6">I32*J32</f>
        <v>1144.92</v>
      </c>
      <c r="L32" s="15">
        <f>0.13*0.13</f>
        <v>0.0169</v>
      </c>
      <c r="M32" s="11">
        <f t="shared" si="5"/>
        <v>4.11684</v>
      </c>
      <c r="N32" s="73"/>
      <c r="O32" s="76"/>
    </row>
    <row r="33" spans="1:15">
      <c r="A33" s="15" t="s">
        <v>81</v>
      </c>
      <c r="B33" s="40" t="s">
        <v>79</v>
      </c>
      <c r="C33" s="16" t="s">
        <v>82</v>
      </c>
      <c r="D33" s="11" t="s">
        <v>16</v>
      </c>
      <c r="E33" s="21">
        <v>0</v>
      </c>
      <c r="F33" s="27">
        <v>0</v>
      </c>
      <c r="G33" s="41">
        <v>0</v>
      </c>
      <c r="H33" s="39">
        <f>20*2+45+9.3*2+9.1*2</f>
        <v>121.8</v>
      </c>
      <c r="I33" s="11">
        <f t="shared" si="3"/>
        <v>121.8</v>
      </c>
      <c r="J33" s="15">
        <v>4.7</v>
      </c>
      <c r="K33" s="11">
        <f t="shared" si="6"/>
        <v>572.46</v>
      </c>
      <c r="L33" s="15">
        <f>0.13*0.13</f>
        <v>0.0169</v>
      </c>
      <c r="M33" s="11">
        <f t="shared" si="5"/>
        <v>2.05842</v>
      </c>
      <c r="N33" s="73"/>
      <c r="O33" s="76"/>
    </row>
    <row r="34" ht="15.6" spans="1:15">
      <c r="A34" s="125" t="s">
        <v>83</v>
      </c>
      <c r="B34" s="36" t="s">
        <v>84</v>
      </c>
      <c r="C34" s="11" t="s">
        <v>85</v>
      </c>
      <c r="D34" s="36" t="s">
        <v>30</v>
      </c>
      <c r="E34" s="21">
        <v>0</v>
      </c>
      <c r="F34" s="27">
        <v>0</v>
      </c>
      <c r="G34" s="41">
        <v>0</v>
      </c>
      <c r="H34" s="39">
        <f>6*3</f>
        <v>18</v>
      </c>
      <c r="I34" s="11">
        <f t="shared" si="3"/>
        <v>18</v>
      </c>
      <c r="J34" s="15">
        <v>2</v>
      </c>
      <c r="K34" s="11">
        <f t="shared" si="6"/>
        <v>36</v>
      </c>
      <c r="L34" s="53">
        <f>0.252*0.252*0.15</f>
        <v>0.0095256</v>
      </c>
      <c r="M34" s="11">
        <f t="shared" si="5"/>
        <v>0.1714608</v>
      </c>
      <c r="N34" s="73"/>
      <c r="O34" s="76"/>
    </row>
    <row r="35" ht="15.6" spans="1:15">
      <c r="A35" s="46" t="s">
        <v>86</v>
      </c>
      <c r="B35" s="47" t="s">
        <v>87</v>
      </c>
      <c r="C35" s="47" t="s">
        <v>88</v>
      </c>
      <c r="D35" s="11" t="s">
        <v>30</v>
      </c>
      <c r="E35" s="21">
        <v>0</v>
      </c>
      <c r="F35" s="27">
        <v>0</v>
      </c>
      <c r="G35" s="41">
        <v>0</v>
      </c>
      <c r="H35" s="20">
        <f>3*2</f>
        <v>6</v>
      </c>
      <c r="I35" s="11">
        <f t="shared" si="3"/>
        <v>6</v>
      </c>
      <c r="J35" s="15"/>
      <c r="K35" s="11">
        <f t="shared" si="6"/>
        <v>0</v>
      </c>
      <c r="L35" s="53"/>
      <c r="M35" s="11">
        <f t="shared" si="5"/>
        <v>0</v>
      </c>
      <c r="N35" s="73"/>
      <c r="O35" s="76"/>
    </row>
    <row r="36" ht="15.6" spans="1:15">
      <c r="A36" s="126" t="s">
        <v>89</v>
      </c>
      <c r="B36" s="49" t="s">
        <v>90</v>
      </c>
      <c r="C36" s="50" t="s">
        <v>91</v>
      </c>
      <c r="D36" s="51" t="s">
        <v>92</v>
      </c>
      <c r="E36" s="21">
        <v>0</v>
      </c>
      <c r="F36" s="27">
        <v>0</v>
      </c>
      <c r="G36" s="41">
        <v>0</v>
      </c>
      <c r="H36" s="20">
        <f>34*2+7*2*2</f>
        <v>96</v>
      </c>
      <c r="I36" s="11">
        <f t="shared" si="3"/>
        <v>96</v>
      </c>
      <c r="J36" s="15">
        <v>3</v>
      </c>
      <c r="K36" s="11">
        <f t="shared" si="6"/>
        <v>288</v>
      </c>
      <c r="L36" s="53"/>
      <c r="M36" s="11">
        <f t="shared" si="5"/>
        <v>0</v>
      </c>
      <c r="N36" s="73"/>
      <c r="O36" s="76"/>
    </row>
    <row r="37" ht="15.6" spans="1:15">
      <c r="A37" s="15"/>
      <c r="B37" s="11" t="s">
        <v>93</v>
      </c>
      <c r="C37" s="33" t="s">
        <v>94</v>
      </c>
      <c r="D37" s="52" t="s">
        <v>30</v>
      </c>
      <c r="E37" s="25">
        <v>0</v>
      </c>
      <c r="F37" s="27">
        <v>0</v>
      </c>
      <c r="G37" s="53">
        <v>4</v>
      </c>
      <c r="H37" s="20">
        <f>2*5</f>
        <v>10</v>
      </c>
      <c r="I37" s="11">
        <f t="shared" ref="I37:I60" si="7">E37+F37+G37+H37</f>
        <v>14</v>
      </c>
      <c r="J37" s="15">
        <v>5</v>
      </c>
      <c r="K37" s="11">
        <f t="shared" si="6"/>
        <v>70</v>
      </c>
      <c r="L37" s="15">
        <f>0.24*0.5*0.385</f>
        <v>0.0462</v>
      </c>
      <c r="M37" s="11">
        <f t="shared" si="5"/>
        <v>0.6468</v>
      </c>
      <c r="N37" s="73"/>
      <c r="O37" s="76"/>
    </row>
    <row r="38" ht="15.6" spans="1:15">
      <c r="A38" s="15"/>
      <c r="B38" s="54" t="s">
        <v>95</v>
      </c>
      <c r="C38" s="11" t="s">
        <v>96</v>
      </c>
      <c r="D38" s="11" t="s">
        <v>30</v>
      </c>
      <c r="E38" s="25">
        <v>0</v>
      </c>
      <c r="F38" s="27">
        <v>0</v>
      </c>
      <c r="G38" s="53">
        <v>0</v>
      </c>
      <c r="H38" s="20">
        <f>20</f>
        <v>20</v>
      </c>
      <c r="I38" s="11">
        <f t="shared" si="7"/>
        <v>20</v>
      </c>
      <c r="J38" s="15"/>
      <c r="K38" s="72"/>
      <c r="L38" s="15"/>
      <c r="M38" s="11"/>
      <c r="N38" s="73"/>
      <c r="O38" s="76"/>
    </row>
    <row r="39" ht="15.6" spans="1:15">
      <c r="A39" s="15" t="s">
        <v>97</v>
      </c>
      <c r="B39" s="47" t="s">
        <v>98</v>
      </c>
      <c r="C39" s="38" t="s">
        <v>99</v>
      </c>
      <c r="D39" s="52" t="s">
        <v>30</v>
      </c>
      <c r="E39" s="25">
        <v>2</v>
      </c>
      <c r="F39" s="27">
        <v>2</v>
      </c>
      <c r="G39" s="53">
        <v>4</v>
      </c>
      <c r="H39" s="28">
        <v>0</v>
      </c>
      <c r="I39" s="11">
        <f t="shared" si="7"/>
        <v>8</v>
      </c>
      <c r="J39" s="15"/>
      <c r="K39" s="72"/>
      <c r="L39" s="53"/>
      <c r="M39" s="72"/>
      <c r="N39" s="73"/>
      <c r="O39" s="76"/>
    </row>
    <row r="40" ht="15.6" spans="1:15">
      <c r="A40" s="15"/>
      <c r="B40" s="11" t="s">
        <v>100</v>
      </c>
      <c r="C40" s="55" t="s">
        <v>101</v>
      </c>
      <c r="D40" s="11" t="s">
        <v>102</v>
      </c>
      <c r="E40" s="25">
        <v>8</v>
      </c>
      <c r="F40" s="27">
        <v>8</v>
      </c>
      <c r="G40" s="53">
        <v>16</v>
      </c>
      <c r="H40" s="28">
        <v>0</v>
      </c>
      <c r="I40" s="11">
        <f t="shared" si="7"/>
        <v>32</v>
      </c>
      <c r="J40" s="15"/>
      <c r="K40" s="72"/>
      <c r="L40" s="53"/>
      <c r="M40" s="72"/>
      <c r="N40" s="73"/>
      <c r="O40" s="76"/>
    </row>
    <row r="41" spans="1:15">
      <c r="A41" s="15"/>
      <c r="B41" s="11" t="s">
        <v>100</v>
      </c>
      <c r="C41" s="16" t="s">
        <v>103</v>
      </c>
      <c r="D41" s="11" t="s">
        <v>102</v>
      </c>
      <c r="E41" s="17">
        <v>0</v>
      </c>
      <c r="F41" s="17">
        <f>(F26+F27)/2*6*1.1</f>
        <v>184.8</v>
      </c>
      <c r="G41" s="31">
        <v>568</v>
      </c>
      <c r="H41" s="19">
        <f>6*(H26+4*2+8)*1.1</f>
        <v>237.6</v>
      </c>
      <c r="I41" s="11">
        <f t="shared" si="7"/>
        <v>990.4</v>
      </c>
      <c r="J41" s="72"/>
      <c r="K41" s="72"/>
      <c r="L41" s="72"/>
      <c r="M41" s="72"/>
      <c r="N41" s="73"/>
      <c r="O41" s="73"/>
    </row>
    <row r="42" spans="1:15">
      <c r="A42" s="15"/>
      <c r="B42" s="11" t="s">
        <v>100</v>
      </c>
      <c r="C42" s="16" t="s">
        <v>104</v>
      </c>
      <c r="D42" s="11" t="s">
        <v>102</v>
      </c>
      <c r="E42" s="17">
        <v>0</v>
      </c>
      <c r="F42" s="17">
        <v>0</v>
      </c>
      <c r="G42" s="31">
        <v>0</v>
      </c>
      <c r="H42" s="20">
        <f>ROUNDUP(8*(34*2+20+8*3+10)*1.1,0)</f>
        <v>1074</v>
      </c>
      <c r="I42" s="11">
        <f t="shared" si="7"/>
        <v>1074</v>
      </c>
      <c r="J42" s="72"/>
      <c r="K42" s="72"/>
      <c r="L42" s="72"/>
      <c r="M42" s="72"/>
      <c r="N42" s="73"/>
      <c r="O42" s="73"/>
    </row>
    <row r="43" spans="1:15">
      <c r="A43" s="15"/>
      <c r="B43" s="16" t="s">
        <v>100</v>
      </c>
      <c r="C43" s="16" t="s">
        <v>105</v>
      </c>
      <c r="D43" s="36" t="s">
        <v>102</v>
      </c>
      <c r="E43" s="17">
        <v>0</v>
      </c>
      <c r="F43" s="17">
        <f>(2*7+2*8+5*5)*3*1.1</f>
        <v>181.5</v>
      </c>
      <c r="G43" s="31">
        <v>0</v>
      </c>
      <c r="H43" s="20">
        <f>ROUNDUP((14*33+6*19)*3*1.1,0)</f>
        <v>1901</v>
      </c>
      <c r="I43" s="11">
        <f t="shared" si="7"/>
        <v>2082.5</v>
      </c>
      <c r="J43" s="72"/>
      <c r="K43" s="72"/>
      <c r="L43" s="78"/>
      <c r="M43" s="72"/>
      <c r="N43" s="73"/>
      <c r="O43" s="73"/>
    </row>
    <row r="44" spans="1:15">
      <c r="A44" s="15"/>
      <c r="B44" s="16" t="s">
        <v>100</v>
      </c>
      <c r="C44" s="16" t="s">
        <v>106</v>
      </c>
      <c r="D44" s="15" t="s">
        <v>102</v>
      </c>
      <c r="E44" s="17">
        <f>ROUNDUP(E9*10*1.1,0)</f>
        <v>1232</v>
      </c>
      <c r="F44" s="17">
        <f>F9*10*1.1+F10*6*1.1-F14*2</f>
        <v>1454</v>
      </c>
      <c r="G44" s="31">
        <f>ROUNDUP(G9*5*2*1.1,0)</f>
        <v>3388</v>
      </c>
      <c r="H44" s="20">
        <f>ROUNDUP((135*14*2+79*6*2-H14*2)*1.1,0)</f>
        <v>5032</v>
      </c>
      <c r="I44" s="11">
        <f t="shared" si="7"/>
        <v>11106</v>
      </c>
      <c r="J44" s="72"/>
      <c r="K44" s="72"/>
      <c r="L44" s="78"/>
      <c r="M44" s="72"/>
      <c r="N44" s="73"/>
      <c r="O44" s="73"/>
    </row>
    <row r="45" spans="1:15">
      <c r="A45" s="15"/>
      <c r="B45" s="16" t="s">
        <v>100</v>
      </c>
      <c r="C45" s="16" t="s">
        <v>107</v>
      </c>
      <c r="D45" s="15" t="s">
        <v>102</v>
      </c>
      <c r="E45" s="17">
        <f>(16*3+10*8)*1.1</f>
        <v>140.8</v>
      </c>
      <c r="F45" s="17">
        <f>(8*3+16*3+10*4)*1.1</f>
        <v>123.2</v>
      </c>
      <c r="G45" s="31">
        <f>ROUNDUP((4*20+4*40+9*2*10+15*3+8*10*2)*1.1,0)</f>
        <v>688</v>
      </c>
      <c r="H45" s="20">
        <f>20*3*1.1</f>
        <v>66</v>
      </c>
      <c r="I45" s="11">
        <f t="shared" si="7"/>
        <v>1018</v>
      </c>
      <c r="J45" s="72"/>
      <c r="K45" s="72"/>
      <c r="L45" s="78"/>
      <c r="M45" s="72"/>
      <c r="N45" s="73"/>
      <c r="O45" s="73"/>
    </row>
    <row r="46" spans="1:15">
      <c r="A46" s="15"/>
      <c r="B46" s="16" t="s">
        <v>100</v>
      </c>
      <c r="C46" s="35" t="s">
        <v>108</v>
      </c>
      <c r="D46" s="15" t="s">
        <v>102</v>
      </c>
      <c r="E46" s="17">
        <v>0</v>
      </c>
      <c r="F46" s="17">
        <v>0</v>
      </c>
      <c r="G46" s="31">
        <v>0</v>
      </c>
      <c r="H46" s="20">
        <f>79*2</f>
        <v>158</v>
      </c>
      <c r="I46" s="11">
        <f t="shared" si="7"/>
        <v>158</v>
      </c>
      <c r="J46" s="72"/>
      <c r="K46" s="72"/>
      <c r="L46" s="72"/>
      <c r="M46" s="72"/>
      <c r="N46" s="73"/>
      <c r="O46" s="73"/>
    </row>
    <row r="47" spans="1:15">
      <c r="A47" s="15"/>
      <c r="B47" s="16" t="s">
        <v>100</v>
      </c>
      <c r="C47" s="35" t="s">
        <v>109</v>
      </c>
      <c r="D47" s="15" t="s">
        <v>102</v>
      </c>
      <c r="E47" s="17">
        <v>0</v>
      </c>
      <c r="F47" s="17">
        <v>0</v>
      </c>
      <c r="G47" s="56">
        <f>G15*4*1.1</f>
        <v>70.4</v>
      </c>
      <c r="H47" s="20">
        <f>79*2</f>
        <v>158</v>
      </c>
      <c r="I47" s="11">
        <f t="shared" si="7"/>
        <v>228.4</v>
      </c>
      <c r="J47" s="72"/>
      <c r="K47" s="72"/>
      <c r="L47" s="72"/>
      <c r="M47" s="72"/>
      <c r="N47" s="73"/>
      <c r="O47" s="73"/>
    </row>
    <row r="48" spans="1:15">
      <c r="A48" s="15"/>
      <c r="B48" s="16" t="s">
        <v>100</v>
      </c>
      <c r="C48" s="16" t="s">
        <v>110</v>
      </c>
      <c r="D48" s="15" t="s">
        <v>102</v>
      </c>
      <c r="E48" s="17">
        <v>0</v>
      </c>
      <c r="F48" s="17">
        <f>F14*4*1.1</f>
        <v>334.4</v>
      </c>
      <c r="G48" s="31">
        <f>4*G37*1.1</f>
        <v>17.6</v>
      </c>
      <c r="H48" s="19">
        <f>(H14+H37*4)*1.1</f>
        <v>128.7</v>
      </c>
      <c r="I48" s="11">
        <f t="shared" si="7"/>
        <v>480.7</v>
      </c>
      <c r="J48" s="11"/>
      <c r="K48" s="72"/>
      <c r="L48" s="11"/>
      <c r="M48" s="72"/>
      <c r="N48" s="73"/>
      <c r="O48" s="73"/>
    </row>
    <row r="49" ht="15.6" spans="1:15">
      <c r="A49" s="15"/>
      <c r="B49" s="16" t="s">
        <v>100</v>
      </c>
      <c r="C49" s="16" t="s">
        <v>111</v>
      </c>
      <c r="D49" s="15" t="s">
        <v>102</v>
      </c>
      <c r="E49" s="57">
        <f>E12*1.1</f>
        <v>158.4</v>
      </c>
      <c r="F49" s="57">
        <f>F12*1.1</f>
        <v>149.6</v>
      </c>
      <c r="G49" s="58">
        <f>ROUNDUP((G12+G13)*1.1,0)</f>
        <v>360</v>
      </c>
      <c r="H49" s="58">
        <v>0</v>
      </c>
      <c r="I49" s="11">
        <f t="shared" si="7"/>
        <v>668</v>
      </c>
      <c r="J49" s="72"/>
      <c r="K49" s="72"/>
      <c r="L49" s="78"/>
      <c r="M49" s="72"/>
      <c r="N49" s="73"/>
      <c r="O49" s="79"/>
    </row>
    <row r="50" ht="15.6" spans="1:15">
      <c r="A50" s="15"/>
      <c r="B50" s="16" t="s">
        <v>100</v>
      </c>
      <c r="C50" s="16" t="s">
        <v>112</v>
      </c>
      <c r="D50" s="15" t="s">
        <v>102</v>
      </c>
      <c r="E50" s="57">
        <v>0</v>
      </c>
      <c r="F50" s="57">
        <f>20</f>
        <v>20</v>
      </c>
      <c r="G50" s="59">
        <v>0</v>
      </c>
      <c r="H50" s="58">
        <f>(H14+H37)*1.1+H34*2*1.1+(34+2*7)*1.1</f>
        <v>188.1</v>
      </c>
      <c r="I50" s="11">
        <f t="shared" si="7"/>
        <v>208.1</v>
      </c>
      <c r="J50" s="72"/>
      <c r="K50" s="72"/>
      <c r="L50" s="78"/>
      <c r="M50" s="72"/>
      <c r="N50" s="73"/>
      <c r="O50" s="79"/>
    </row>
    <row r="51" spans="1:15">
      <c r="A51" s="15"/>
      <c r="B51" s="11" t="s">
        <v>100</v>
      </c>
      <c r="C51" s="16" t="s">
        <v>113</v>
      </c>
      <c r="D51" s="60" t="s">
        <v>102</v>
      </c>
      <c r="E51" s="17">
        <v>0</v>
      </c>
      <c r="F51" s="17">
        <v>0</v>
      </c>
      <c r="G51" s="18">
        <v>0</v>
      </c>
      <c r="H51" s="19">
        <f>(14*2+6*2)*1.1</f>
        <v>44</v>
      </c>
      <c r="I51" s="11">
        <f t="shared" si="7"/>
        <v>44</v>
      </c>
      <c r="J51" s="72"/>
      <c r="K51" s="72"/>
      <c r="L51" s="78"/>
      <c r="M51" s="72"/>
      <c r="N51" s="73"/>
      <c r="O51" s="73"/>
    </row>
    <row r="52" spans="1:15">
      <c r="A52" s="15"/>
      <c r="B52" s="11" t="s">
        <v>100</v>
      </c>
      <c r="C52" s="11" t="s">
        <v>114</v>
      </c>
      <c r="D52" s="11" t="s">
        <v>102</v>
      </c>
      <c r="E52" s="17">
        <v>0</v>
      </c>
      <c r="F52" s="17">
        <v>0</v>
      </c>
      <c r="G52" s="18">
        <v>0</v>
      </c>
      <c r="H52" s="20">
        <f>ROUNDUP(H51+H36/2*1.1,0)</f>
        <v>97</v>
      </c>
      <c r="I52" s="11">
        <f t="shared" si="7"/>
        <v>97</v>
      </c>
      <c r="J52" s="72"/>
      <c r="K52" s="72"/>
      <c r="L52" s="78"/>
      <c r="M52" s="72"/>
      <c r="N52" s="73"/>
      <c r="O52" s="73"/>
    </row>
    <row r="53" spans="1:15">
      <c r="A53" s="15"/>
      <c r="B53" s="11" t="s">
        <v>100</v>
      </c>
      <c r="C53" s="11" t="s">
        <v>115</v>
      </c>
      <c r="D53" s="36" t="s">
        <v>102</v>
      </c>
      <c r="E53" s="17">
        <v>0</v>
      </c>
      <c r="F53" s="17">
        <v>0</v>
      </c>
      <c r="G53" s="18">
        <v>0</v>
      </c>
      <c r="H53" s="20">
        <f>ROUNDUP(H36*2*1.1,0)</f>
        <v>212</v>
      </c>
      <c r="I53" s="11">
        <f t="shared" si="7"/>
        <v>212</v>
      </c>
      <c r="J53" s="72"/>
      <c r="K53" s="72"/>
      <c r="L53" s="78"/>
      <c r="M53" s="72"/>
      <c r="N53" s="73"/>
      <c r="O53" s="73"/>
    </row>
    <row r="54" spans="1:15">
      <c r="A54" s="15"/>
      <c r="B54" s="11" t="s">
        <v>100</v>
      </c>
      <c r="C54" s="43" t="s">
        <v>116</v>
      </c>
      <c r="D54" s="36" t="s">
        <v>102</v>
      </c>
      <c r="E54" s="17">
        <v>0</v>
      </c>
      <c r="F54" s="17">
        <v>0</v>
      </c>
      <c r="G54" s="31">
        <v>0</v>
      </c>
      <c r="H54" s="20">
        <f>ROUNDUP(H16*6*1.1,0)</f>
        <v>786</v>
      </c>
      <c r="I54" s="11">
        <f t="shared" si="7"/>
        <v>786</v>
      </c>
      <c r="J54" s="72"/>
      <c r="K54" s="72"/>
      <c r="L54" s="78"/>
      <c r="M54" s="72"/>
      <c r="N54" s="73"/>
      <c r="O54" s="73"/>
    </row>
    <row r="55" spans="1:15">
      <c r="A55" s="15"/>
      <c r="B55" s="16" t="s">
        <v>117</v>
      </c>
      <c r="C55" s="16" t="s">
        <v>118</v>
      </c>
      <c r="D55" s="15" t="s">
        <v>30</v>
      </c>
      <c r="E55" s="17">
        <f>SUM(E44:E50)</f>
        <v>1531.2</v>
      </c>
      <c r="F55" s="17">
        <f>SUM(F44:F50)</f>
        <v>2081.2</v>
      </c>
      <c r="G55" s="31">
        <f>SUM(G44:G53)</f>
        <v>4524</v>
      </c>
      <c r="H55" s="19">
        <f>SUM(H44:H53)</f>
        <v>6083.8</v>
      </c>
      <c r="I55" s="11">
        <f t="shared" si="7"/>
        <v>14220.2</v>
      </c>
      <c r="J55" s="72"/>
      <c r="K55" s="72"/>
      <c r="L55" s="78"/>
      <c r="M55" s="72"/>
      <c r="N55" s="73"/>
      <c r="O55" s="73"/>
    </row>
    <row r="56" spans="1:15">
      <c r="A56" s="15"/>
      <c r="B56" s="11" t="s">
        <v>117</v>
      </c>
      <c r="C56" s="11" t="s">
        <v>119</v>
      </c>
      <c r="D56" s="36" t="s">
        <v>30</v>
      </c>
      <c r="E56" s="17">
        <v>0</v>
      </c>
      <c r="F56" s="17">
        <f>F43</f>
        <v>181.5</v>
      </c>
      <c r="G56" s="18">
        <v>0</v>
      </c>
      <c r="H56" s="19">
        <f>H43+H54</f>
        <v>2687</v>
      </c>
      <c r="I56" s="11">
        <f t="shared" si="7"/>
        <v>2868.5</v>
      </c>
      <c r="J56" s="72"/>
      <c r="K56" s="72"/>
      <c r="L56" s="78"/>
      <c r="M56" s="72"/>
      <c r="N56" s="73"/>
      <c r="O56" s="73"/>
    </row>
    <row r="57" spans="1:15">
      <c r="A57" s="15"/>
      <c r="B57" s="16" t="s">
        <v>117</v>
      </c>
      <c r="C57" s="16" t="s">
        <v>120</v>
      </c>
      <c r="D57" s="15" t="s">
        <v>30</v>
      </c>
      <c r="E57" s="17">
        <v>0</v>
      </c>
      <c r="F57" s="17">
        <f>F41</f>
        <v>184.8</v>
      </c>
      <c r="G57" s="18">
        <v>568</v>
      </c>
      <c r="H57" s="19">
        <f>H42</f>
        <v>1074</v>
      </c>
      <c r="I57" s="11">
        <f t="shared" si="7"/>
        <v>1826.8</v>
      </c>
      <c r="J57" s="72"/>
      <c r="K57" s="72"/>
      <c r="L57" s="78"/>
      <c r="M57" s="72"/>
      <c r="N57" s="73"/>
      <c r="O57" s="73"/>
    </row>
    <row r="58" spans="1:15">
      <c r="A58" s="15"/>
      <c r="B58" s="16" t="s">
        <v>121</v>
      </c>
      <c r="C58" s="16" t="s">
        <v>118</v>
      </c>
      <c r="D58" s="11" t="s">
        <v>30</v>
      </c>
      <c r="E58" s="17">
        <f t="shared" ref="E58:H58" si="8">E55*2-E44</f>
        <v>1830.4</v>
      </c>
      <c r="F58" s="17">
        <f t="shared" si="8"/>
        <v>2708.4</v>
      </c>
      <c r="G58" s="31">
        <v>5584</v>
      </c>
      <c r="H58" s="19">
        <f t="shared" si="8"/>
        <v>7135.6</v>
      </c>
      <c r="I58" s="11">
        <f t="shared" si="7"/>
        <v>17258.4</v>
      </c>
      <c r="J58" s="72"/>
      <c r="K58" s="72"/>
      <c r="L58" s="78"/>
      <c r="M58" s="72"/>
      <c r="N58" s="73"/>
      <c r="O58" s="73"/>
    </row>
    <row r="59" spans="1:15">
      <c r="A59" s="15"/>
      <c r="B59" s="16" t="s">
        <v>121</v>
      </c>
      <c r="C59" s="16" t="s">
        <v>119</v>
      </c>
      <c r="D59" s="11" t="s">
        <v>30</v>
      </c>
      <c r="E59" s="17">
        <v>0</v>
      </c>
      <c r="F59" s="17">
        <f>F56*2</f>
        <v>363</v>
      </c>
      <c r="G59" s="31">
        <v>0</v>
      </c>
      <c r="H59" s="19">
        <f>H56*2</f>
        <v>5374</v>
      </c>
      <c r="I59" s="11">
        <f t="shared" si="7"/>
        <v>5737</v>
      </c>
      <c r="J59" s="72"/>
      <c r="K59" s="72"/>
      <c r="L59" s="78"/>
      <c r="M59" s="72"/>
      <c r="N59" s="73"/>
      <c r="O59" s="73"/>
    </row>
    <row r="60" spans="1:15">
      <c r="A60" s="15"/>
      <c r="B60" s="16" t="s">
        <v>121</v>
      </c>
      <c r="C60" s="16" t="s">
        <v>120</v>
      </c>
      <c r="D60" s="11" t="s">
        <v>30</v>
      </c>
      <c r="E60" s="17">
        <v>0</v>
      </c>
      <c r="F60" s="17">
        <f>F57*2</f>
        <v>369.6</v>
      </c>
      <c r="G60" s="31">
        <v>1136</v>
      </c>
      <c r="H60" s="19">
        <f>H57*2</f>
        <v>2148</v>
      </c>
      <c r="I60" s="11">
        <f t="shared" si="7"/>
        <v>3653.6</v>
      </c>
      <c r="J60" s="72"/>
      <c r="K60" s="72"/>
      <c r="L60" s="78"/>
      <c r="M60" s="72"/>
      <c r="N60" s="73"/>
      <c r="O60" s="73"/>
    </row>
    <row r="61" spans="11:14">
      <c r="K61" s="4">
        <f>SUM(K3:K60)</f>
        <v>199886.021986551</v>
      </c>
      <c r="M61" s="5">
        <f>SUM(M3:M60)</f>
        <v>1066.1339689</v>
      </c>
      <c r="N61" s="5"/>
    </row>
    <row r="63" ht="17.4" spans="1:11">
      <c r="A63" s="61" t="s">
        <v>122</v>
      </c>
      <c r="B63" s="62"/>
      <c r="C63" s="62"/>
      <c r="D63" s="63"/>
      <c r="E63" s="64"/>
      <c r="F63" s="64"/>
      <c r="G63" s="65"/>
      <c r="H63" s="65"/>
      <c r="I63" s="63"/>
      <c r="J63" s="63"/>
      <c r="K63" s="63"/>
    </row>
    <row r="64" ht="43.2" spans="1:11">
      <c r="A64" s="66" t="s">
        <v>1</v>
      </c>
      <c r="B64" s="66" t="s">
        <v>2</v>
      </c>
      <c r="C64" s="67" t="s">
        <v>3</v>
      </c>
      <c r="D64" s="66" t="s">
        <v>4</v>
      </c>
      <c r="E64" s="68" t="s">
        <v>123</v>
      </c>
      <c r="F64" s="68" t="s">
        <v>124</v>
      </c>
      <c r="G64" s="69" t="s">
        <v>125</v>
      </c>
      <c r="H64" s="3" t="s">
        <v>126</v>
      </c>
      <c r="I64" s="80" t="s">
        <v>127</v>
      </c>
      <c r="J64" s="66" t="s">
        <v>10</v>
      </c>
      <c r="K64" s="66" t="s">
        <v>12</v>
      </c>
    </row>
    <row r="65" ht="28.8" spans="1:11">
      <c r="A65" s="11"/>
      <c r="B65" s="11" t="s">
        <v>128</v>
      </c>
      <c r="C65" s="55" t="s">
        <v>129</v>
      </c>
      <c r="D65" s="11" t="s">
        <v>42</v>
      </c>
      <c r="E65" s="81">
        <v>0</v>
      </c>
      <c r="F65" s="81">
        <v>0</v>
      </c>
      <c r="G65" s="18">
        <v>10</v>
      </c>
      <c r="H65" s="18">
        <v>0</v>
      </c>
      <c r="I65" s="11">
        <f>E65+F65+G65+H65</f>
        <v>10</v>
      </c>
      <c r="J65" s="11"/>
      <c r="K65" s="11"/>
    </row>
    <row r="66" spans="1:11">
      <c r="A66" s="11"/>
      <c r="B66" s="11" t="s">
        <v>128</v>
      </c>
      <c r="C66" s="43" t="s">
        <v>130</v>
      </c>
      <c r="D66" s="11" t="s">
        <v>42</v>
      </c>
      <c r="E66" s="81">
        <v>0</v>
      </c>
      <c r="F66" s="81">
        <v>1</v>
      </c>
      <c r="G66" s="18">
        <v>0</v>
      </c>
      <c r="H66" s="18">
        <v>0</v>
      </c>
      <c r="I66" s="11">
        <f t="shared" ref="I66:I79" si="9">E66+F66+G66+H66</f>
        <v>1</v>
      </c>
      <c r="J66" s="11"/>
      <c r="K66" s="11"/>
    </row>
    <row r="67" spans="1:11">
      <c r="A67" s="11"/>
      <c r="B67" s="11" t="s">
        <v>128</v>
      </c>
      <c r="C67" s="82" t="s">
        <v>131</v>
      </c>
      <c r="D67" s="11" t="s">
        <v>42</v>
      </c>
      <c r="E67" s="81">
        <v>1</v>
      </c>
      <c r="F67" s="81">
        <v>0</v>
      </c>
      <c r="G67" s="18">
        <v>0</v>
      </c>
      <c r="H67" s="18">
        <v>0</v>
      </c>
      <c r="I67" s="11">
        <f t="shared" si="9"/>
        <v>1</v>
      </c>
      <c r="J67" s="11"/>
      <c r="K67" s="11"/>
    </row>
    <row r="68" spans="1:11">
      <c r="A68" s="11"/>
      <c r="B68" s="11" t="s">
        <v>132</v>
      </c>
      <c r="C68" s="55" t="s">
        <v>133</v>
      </c>
      <c r="D68" s="11" t="s">
        <v>30</v>
      </c>
      <c r="E68" s="81">
        <f>100/2.5</f>
        <v>40</v>
      </c>
      <c r="F68" s="81">
        <f>100/2.5</f>
        <v>40</v>
      </c>
      <c r="G68" s="18">
        <f>3*4*10</f>
        <v>120</v>
      </c>
      <c r="H68" s="18">
        <v>0</v>
      </c>
      <c r="I68" s="11">
        <f t="shared" si="9"/>
        <v>200</v>
      </c>
      <c r="J68" s="11"/>
      <c r="K68" s="15"/>
    </row>
    <row r="69" spans="1:11">
      <c r="A69" s="83"/>
      <c r="B69" s="11" t="s">
        <v>134</v>
      </c>
      <c r="C69" s="55" t="s">
        <v>135</v>
      </c>
      <c r="D69" s="11" t="s">
        <v>16</v>
      </c>
      <c r="E69" s="81">
        <f>E68*1.5*1.2</f>
        <v>72</v>
      </c>
      <c r="F69" s="81">
        <f>F68*1.5*1.2</f>
        <v>72</v>
      </c>
      <c r="G69" s="18">
        <f>G68*1.5*1.2</f>
        <v>216</v>
      </c>
      <c r="H69" s="18">
        <v>0</v>
      </c>
      <c r="I69" s="11">
        <f t="shared" si="9"/>
        <v>360</v>
      </c>
      <c r="J69" s="11"/>
      <c r="K69" s="11"/>
    </row>
    <row r="70" spans="1:11">
      <c r="A70" s="84"/>
      <c r="B70" s="11" t="s">
        <v>136</v>
      </c>
      <c r="C70" s="55" t="s">
        <v>137</v>
      </c>
      <c r="D70" s="11" t="s">
        <v>16</v>
      </c>
      <c r="E70" s="81">
        <f>E68*10*1.2</f>
        <v>480</v>
      </c>
      <c r="F70" s="81">
        <v>0</v>
      </c>
      <c r="G70" s="18">
        <f>G68*10*1.2</f>
        <v>1440</v>
      </c>
      <c r="H70" s="18">
        <v>0</v>
      </c>
      <c r="I70" s="11">
        <f t="shared" si="9"/>
        <v>1920</v>
      </c>
      <c r="J70" s="11"/>
      <c r="K70" s="15"/>
    </row>
    <row r="71" spans="1:11">
      <c r="A71" s="84"/>
      <c r="B71" s="11" t="s">
        <v>138</v>
      </c>
      <c r="C71" s="11" t="s">
        <v>139</v>
      </c>
      <c r="D71" s="11" t="s">
        <v>42</v>
      </c>
      <c r="E71" s="81">
        <v>1</v>
      </c>
      <c r="F71" s="81">
        <v>1</v>
      </c>
      <c r="G71" s="18">
        <v>0</v>
      </c>
      <c r="H71" s="18">
        <v>0</v>
      </c>
      <c r="I71" s="11">
        <f t="shared" si="9"/>
        <v>2</v>
      </c>
      <c r="J71" s="11"/>
      <c r="K71" s="15"/>
    </row>
    <row r="72" spans="1:11">
      <c r="A72" s="84"/>
      <c r="B72" s="11" t="s">
        <v>138</v>
      </c>
      <c r="C72" s="11" t="s">
        <v>140</v>
      </c>
      <c r="D72" s="11" t="s">
        <v>42</v>
      </c>
      <c r="E72" s="81">
        <v>1</v>
      </c>
      <c r="F72" s="81">
        <v>0</v>
      </c>
      <c r="G72" s="18">
        <v>0</v>
      </c>
      <c r="H72" s="18">
        <v>0</v>
      </c>
      <c r="I72" s="11">
        <f t="shared" si="9"/>
        <v>1</v>
      </c>
      <c r="J72" s="11"/>
      <c r="K72" s="15"/>
    </row>
    <row r="73" spans="1:11">
      <c r="A73" s="84"/>
      <c r="B73" s="11" t="s">
        <v>138</v>
      </c>
      <c r="C73" s="11" t="s">
        <v>141</v>
      </c>
      <c r="D73" s="11" t="s">
        <v>42</v>
      </c>
      <c r="E73" s="81">
        <v>0</v>
      </c>
      <c r="F73" s="81">
        <v>0</v>
      </c>
      <c r="G73" s="18">
        <v>0</v>
      </c>
      <c r="H73" s="18">
        <v>0</v>
      </c>
      <c r="I73" s="11">
        <f t="shared" si="9"/>
        <v>0</v>
      </c>
      <c r="J73" s="11"/>
      <c r="K73" s="15"/>
    </row>
    <row r="74" spans="1:11">
      <c r="A74" s="84"/>
      <c r="B74" s="11" t="s">
        <v>138</v>
      </c>
      <c r="C74" s="11" t="s">
        <v>141</v>
      </c>
      <c r="D74" s="11" t="s">
        <v>42</v>
      </c>
      <c r="E74" s="81">
        <v>0</v>
      </c>
      <c r="F74" s="81">
        <v>4</v>
      </c>
      <c r="G74" s="18">
        <v>0</v>
      </c>
      <c r="H74" s="18">
        <v>0</v>
      </c>
      <c r="I74" s="11">
        <f t="shared" si="9"/>
        <v>4</v>
      </c>
      <c r="J74" s="11"/>
      <c r="K74" s="15"/>
    </row>
    <row r="75" spans="1:11">
      <c r="A75" s="84"/>
      <c r="B75" s="11" t="s">
        <v>138</v>
      </c>
      <c r="C75" s="11" t="s">
        <v>142</v>
      </c>
      <c r="D75" s="11" t="s">
        <v>42</v>
      </c>
      <c r="E75" s="81">
        <v>0</v>
      </c>
      <c r="F75" s="81">
        <v>4</v>
      </c>
      <c r="G75" s="18">
        <v>0</v>
      </c>
      <c r="H75" s="18">
        <v>0</v>
      </c>
      <c r="I75" s="11">
        <f t="shared" si="9"/>
        <v>4</v>
      </c>
      <c r="J75" s="11"/>
      <c r="K75" s="15"/>
    </row>
    <row r="76" spans="1:11">
      <c r="A76" s="11"/>
      <c r="B76" s="11" t="s">
        <v>138</v>
      </c>
      <c r="C76" s="55" t="s">
        <v>143</v>
      </c>
      <c r="D76" s="11" t="s">
        <v>42</v>
      </c>
      <c r="E76" s="81">
        <v>0</v>
      </c>
      <c r="F76" s="81">
        <v>0</v>
      </c>
      <c r="G76" s="18">
        <v>1</v>
      </c>
      <c r="H76" s="18">
        <v>0</v>
      </c>
      <c r="I76" s="11">
        <f t="shared" si="9"/>
        <v>1</v>
      </c>
      <c r="J76" s="11"/>
      <c r="K76" s="11"/>
    </row>
    <row r="77" spans="1:11">
      <c r="A77" s="11"/>
      <c r="B77" s="11" t="s">
        <v>138</v>
      </c>
      <c r="C77" s="55" t="s">
        <v>144</v>
      </c>
      <c r="D77" s="11" t="s">
        <v>42</v>
      </c>
      <c r="E77" s="81">
        <v>0</v>
      </c>
      <c r="F77" s="81">
        <v>0</v>
      </c>
      <c r="G77" s="18">
        <v>10</v>
      </c>
      <c r="H77" s="18">
        <v>0</v>
      </c>
      <c r="I77" s="11">
        <f t="shared" si="9"/>
        <v>10</v>
      </c>
      <c r="J77" s="11"/>
      <c r="K77" s="11"/>
    </row>
    <row r="78" spans="1:11">
      <c r="A78" s="11"/>
      <c r="B78" s="11" t="s">
        <v>138</v>
      </c>
      <c r="C78" s="14" t="s">
        <v>145</v>
      </c>
      <c r="D78" s="11" t="s">
        <v>42</v>
      </c>
      <c r="E78" s="81">
        <v>0</v>
      </c>
      <c r="F78" s="81">
        <v>0</v>
      </c>
      <c r="G78" s="18">
        <v>0</v>
      </c>
      <c r="H78" s="18">
        <v>1</v>
      </c>
      <c r="I78" s="11">
        <f t="shared" si="9"/>
        <v>1</v>
      </c>
      <c r="J78" s="11"/>
      <c r="K78" s="11"/>
    </row>
    <row r="79" spans="1:11">
      <c r="A79" s="11"/>
      <c r="B79" s="11" t="s">
        <v>146</v>
      </c>
      <c r="C79" s="55" t="s">
        <v>147</v>
      </c>
      <c r="D79" s="11" t="s">
        <v>16</v>
      </c>
      <c r="E79" s="85">
        <f>(101+100)/2.5*1.2*2</f>
        <v>192.96</v>
      </c>
      <c r="F79" s="85">
        <f>(101+26.2*4+21.6*4)/2.5*1.2*2</f>
        <v>280.512</v>
      </c>
      <c r="G79" s="18">
        <f>(G68*1*1.2+(140/2.5)*1.2)*2</f>
        <v>422.4</v>
      </c>
      <c r="H79" s="31">
        <f>115/2.5*H78*1.2*2</f>
        <v>110.4</v>
      </c>
      <c r="I79" s="11">
        <f t="shared" si="9"/>
        <v>1006.272</v>
      </c>
      <c r="J79" s="11"/>
      <c r="K79" s="11"/>
    </row>
    <row r="82" ht="17.4" spans="1:9">
      <c r="A82" s="7" t="s">
        <v>148</v>
      </c>
      <c r="B82" s="8"/>
      <c r="C82" s="8"/>
      <c r="D82" s="7"/>
      <c r="E82" s="9"/>
      <c r="F82" s="9"/>
      <c r="G82" s="10"/>
      <c r="H82" s="10"/>
      <c r="I82" s="7"/>
    </row>
    <row r="83" ht="15.6" spans="1:9">
      <c r="A83" s="51" t="s">
        <v>1</v>
      </c>
      <c r="B83" s="51" t="s">
        <v>2</v>
      </c>
      <c r="C83" s="51" t="s">
        <v>149</v>
      </c>
      <c r="D83" s="86" t="s">
        <v>4</v>
      </c>
      <c r="E83" s="87" t="s">
        <v>150</v>
      </c>
      <c r="F83" s="88" t="s">
        <v>10</v>
      </c>
      <c r="G83" s="89" t="s">
        <v>151</v>
      </c>
      <c r="H83" s="89" t="s">
        <v>152</v>
      </c>
      <c r="I83" s="120" t="s">
        <v>153</v>
      </c>
    </row>
    <row r="84" ht="15.6" spans="1:9">
      <c r="A84" s="53"/>
      <c r="B84" s="90" t="s">
        <v>154</v>
      </c>
      <c r="C84" s="90" t="s">
        <v>155</v>
      </c>
      <c r="D84" s="91" t="s">
        <v>30</v>
      </c>
      <c r="E84" s="92">
        <f>8*3</f>
        <v>24</v>
      </c>
      <c r="F84" s="81"/>
      <c r="G84" s="18"/>
      <c r="H84" s="18"/>
      <c r="I84" s="121"/>
    </row>
    <row r="85" ht="15.6" spans="1:9">
      <c r="A85" s="93"/>
      <c r="B85" s="94" t="s">
        <v>156</v>
      </c>
      <c r="C85" s="94" t="s">
        <v>157</v>
      </c>
      <c r="D85" s="95" t="s">
        <v>42</v>
      </c>
      <c r="E85" s="94">
        <v>1</v>
      </c>
      <c r="F85" s="96"/>
      <c r="G85" s="20">
        <v>903</v>
      </c>
      <c r="H85" s="20"/>
      <c r="I85" s="122"/>
    </row>
    <row r="86" ht="15.6" spans="1:9">
      <c r="A86" s="97"/>
      <c r="B86" s="94" t="s">
        <v>156</v>
      </c>
      <c r="C86" s="94" t="s">
        <v>158</v>
      </c>
      <c r="D86" s="95" t="s">
        <v>42</v>
      </c>
      <c r="E86" s="94">
        <v>1</v>
      </c>
      <c r="F86" s="93"/>
      <c r="G86" s="93">
        <v>733</v>
      </c>
      <c r="H86" s="93"/>
      <c r="I86" s="122"/>
    </row>
    <row r="87" ht="15.6" spans="1:9">
      <c r="A87" s="98"/>
      <c r="B87" s="90" t="s">
        <v>159</v>
      </c>
      <c r="C87" s="90" t="s">
        <v>160</v>
      </c>
      <c r="D87" s="99" t="s">
        <v>42</v>
      </c>
      <c r="E87" s="100">
        <v>1</v>
      </c>
      <c r="F87" s="101"/>
      <c r="H87" s="53"/>
      <c r="I87" s="121"/>
    </row>
    <row r="88" ht="15.6" spans="1:9">
      <c r="A88" s="98"/>
      <c r="B88" s="90" t="s">
        <v>161</v>
      </c>
      <c r="C88" s="90" t="s">
        <v>162</v>
      </c>
      <c r="D88" s="90" t="s">
        <v>30</v>
      </c>
      <c r="E88" s="100">
        <f>3*4+5</f>
        <v>17</v>
      </c>
      <c r="F88" s="101"/>
      <c r="G88" s="53"/>
      <c r="H88" s="53"/>
      <c r="I88" s="121"/>
    </row>
    <row r="89" ht="15.6" spans="1:9">
      <c r="A89" s="15" t="s">
        <v>163</v>
      </c>
      <c r="B89" s="90" t="s">
        <v>164</v>
      </c>
      <c r="C89" s="90" t="s">
        <v>165</v>
      </c>
      <c r="D89" s="90" t="s">
        <v>16</v>
      </c>
      <c r="E89" s="100">
        <f>E88*1.5</f>
        <v>25.5</v>
      </c>
      <c r="F89" s="101"/>
      <c r="G89" s="53"/>
      <c r="H89" s="53"/>
      <c r="I89" s="121"/>
    </row>
    <row r="90" ht="15.6" spans="1:9">
      <c r="A90" s="15" t="s">
        <v>166</v>
      </c>
      <c r="B90" s="90" t="s">
        <v>167</v>
      </c>
      <c r="C90" s="90" t="s">
        <v>168</v>
      </c>
      <c r="D90" s="90" t="s">
        <v>30</v>
      </c>
      <c r="E90" s="102">
        <f>E88*1.2</f>
        <v>20.4</v>
      </c>
      <c r="F90" s="101"/>
      <c r="G90" s="53"/>
      <c r="H90" s="53"/>
      <c r="I90" s="121"/>
    </row>
    <row r="91" ht="15.6" spans="1:9">
      <c r="A91" s="103"/>
      <c r="B91" s="90" t="s">
        <v>100</v>
      </c>
      <c r="C91" s="90" t="s">
        <v>169</v>
      </c>
      <c r="D91" s="90" t="s">
        <v>102</v>
      </c>
      <c r="E91" s="100">
        <f>E88</f>
        <v>17</v>
      </c>
      <c r="F91" s="101"/>
      <c r="G91" s="53"/>
      <c r="H91" s="53"/>
      <c r="I91" s="121"/>
    </row>
    <row r="92" ht="15.6" spans="1:9">
      <c r="A92" s="103"/>
      <c r="B92" s="90" t="s">
        <v>170</v>
      </c>
      <c r="C92" s="90" t="s">
        <v>171</v>
      </c>
      <c r="D92" s="90" t="s">
        <v>42</v>
      </c>
      <c r="E92" s="100">
        <v>8</v>
      </c>
      <c r="F92" s="101"/>
      <c r="G92" s="53"/>
      <c r="H92" s="53"/>
      <c r="I92" s="121"/>
    </row>
    <row r="93" ht="15.6" spans="1:9">
      <c r="A93" s="11"/>
      <c r="B93" s="90" t="s">
        <v>170</v>
      </c>
      <c r="C93" s="90" t="s">
        <v>172</v>
      </c>
      <c r="D93" s="90" t="s">
        <v>42</v>
      </c>
      <c r="E93" s="100">
        <f>22-E92</f>
        <v>14</v>
      </c>
      <c r="F93" s="81"/>
      <c r="G93" s="18"/>
      <c r="H93" s="18"/>
      <c r="I93" s="11"/>
    </row>
    <row r="94" ht="15.6" spans="1:10">
      <c r="A94" s="11"/>
      <c r="B94" s="90" t="s">
        <v>173</v>
      </c>
      <c r="C94" s="43" t="s">
        <v>173</v>
      </c>
      <c r="D94" s="90" t="s">
        <v>42</v>
      </c>
      <c r="E94" s="100">
        <v>1</v>
      </c>
      <c r="F94" s="81"/>
      <c r="G94" s="18"/>
      <c r="H94" s="18"/>
      <c r="I94" s="11"/>
      <c r="J94" s="123"/>
    </row>
    <row r="95" ht="15.6" spans="1:9">
      <c r="A95" s="11"/>
      <c r="B95" s="43" t="s">
        <v>174</v>
      </c>
      <c r="C95" s="43" t="s">
        <v>174</v>
      </c>
      <c r="D95" s="90" t="s">
        <v>42</v>
      </c>
      <c r="E95" s="100">
        <v>4</v>
      </c>
      <c r="F95" s="81"/>
      <c r="G95" s="18"/>
      <c r="H95" s="18"/>
      <c r="I95" s="11"/>
    </row>
    <row r="96" ht="15.6" spans="1:9">
      <c r="A96" s="104"/>
      <c r="B96" s="105" t="s">
        <v>175</v>
      </c>
      <c r="C96" s="106" t="s">
        <v>176</v>
      </c>
      <c r="D96" s="105" t="s">
        <v>42</v>
      </c>
      <c r="E96" s="105">
        <v>4</v>
      </c>
      <c r="F96" s="104"/>
      <c r="G96" s="107"/>
      <c r="H96" s="20"/>
      <c r="I96" s="104"/>
    </row>
    <row r="97" ht="15.6" spans="1:9">
      <c r="A97" s="104"/>
      <c r="B97" s="108"/>
      <c r="C97" s="106" t="s">
        <v>177</v>
      </c>
      <c r="D97" s="105" t="s">
        <v>42</v>
      </c>
      <c r="E97" s="105">
        <v>4</v>
      </c>
      <c r="F97" s="104"/>
      <c r="G97" s="107"/>
      <c r="H97" s="20"/>
      <c r="I97" s="104"/>
    </row>
    <row r="99" ht="17.4" spans="1:10">
      <c r="A99" s="109" t="s">
        <v>178</v>
      </c>
      <c r="B99" s="110"/>
      <c r="C99" s="110"/>
      <c r="D99" s="109"/>
      <c r="E99" s="111"/>
      <c r="F99" s="111"/>
      <c r="G99" s="112"/>
      <c r="H99" s="112"/>
      <c r="I99" s="109"/>
      <c r="J99" s="109"/>
    </row>
    <row r="100" ht="28.8" spans="1:10">
      <c r="A100" s="51" t="s">
        <v>1</v>
      </c>
      <c r="B100" s="51" t="s">
        <v>2</v>
      </c>
      <c r="C100" s="51" t="s">
        <v>3</v>
      </c>
      <c r="D100" s="51" t="s">
        <v>4</v>
      </c>
      <c r="E100" s="113" t="s">
        <v>179</v>
      </c>
      <c r="F100" s="113" t="s">
        <v>180</v>
      </c>
      <c r="G100" s="114" t="s">
        <v>181</v>
      </c>
      <c r="H100" s="115" t="s">
        <v>182</v>
      </c>
      <c r="I100" s="51" t="s">
        <v>10</v>
      </c>
      <c r="J100" s="51" t="s">
        <v>12</v>
      </c>
    </row>
    <row r="101" spans="1:10">
      <c r="A101" s="116"/>
      <c r="B101" s="11" t="s">
        <v>183</v>
      </c>
      <c r="C101" s="11" t="s">
        <v>184</v>
      </c>
      <c r="D101" s="11" t="s">
        <v>185</v>
      </c>
      <c r="E101" s="85">
        <v>0</v>
      </c>
      <c r="F101" s="117">
        <v>8</v>
      </c>
      <c r="G101" s="20">
        <v>20</v>
      </c>
      <c r="H101" s="31">
        <f>E101+F101+G101</f>
        <v>28</v>
      </c>
      <c r="I101" s="11"/>
      <c r="J101" s="15"/>
    </row>
    <row r="102" spans="1:10">
      <c r="A102" s="116"/>
      <c r="B102" s="11" t="s">
        <v>183</v>
      </c>
      <c r="C102" s="11" t="s">
        <v>186</v>
      </c>
      <c r="D102" s="11" t="s">
        <v>185</v>
      </c>
      <c r="E102" s="117">
        <v>8</v>
      </c>
      <c r="F102" s="85">
        <v>0</v>
      </c>
      <c r="G102" s="20">
        <v>0</v>
      </c>
      <c r="H102" s="31">
        <f t="shared" ref="H102:H121" si="10">E102+F102+G102</f>
        <v>8</v>
      </c>
      <c r="I102" s="11"/>
      <c r="J102" s="15"/>
    </row>
    <row r="103" spans="1:10">
      <c r="A103" s="116"/>
      <c r="B103" s="11" t="s">
        <v>187</v>
      </c>
      <c r="C103" s="11" t="s">
        <v>188</v>
      </c>
      <c r="D103" s="11" t="s">
        <v>21</v>
      </c>
      <c r="E103" s="85">
        <v>0</v>
      </c>
      <c r="F103" s="117">
        <f>F101</f>
        <v>8</v>
      </c>
      <c r="G103" s="20">
        <f>G101</f>
        <v>20</v>
      </c>
      <c r="H103" s="31">
        <f t="shared" si="10"/>
        <v>28</v>
      </c>
      <c r="I103" s="11"/>
      <c r="J103" s="15"/>
    </row>
    <row r="104" spans="1:10">
      <c r="A104" s="116"/>
      <c r="B104" s="11" t="s">
        <v>187</v>
      </c>
      <c r="C104" s="11" t="s">
        <v>189</v>
      </c>
      <c r="D104" s="11" t="s">
        <v>21</v>
      </c>
      <c r="E104" s="85">
        <f>E102</f>
        <v>8</v>
      </c>
      <c r="F104" s="117">
        <v>0</v>
      </c>
      <c r="G104" s="20">
        <v>0</v>
      </c>
      <c r="H104" s="31">
        <f t="shared" si="10"/>
        <v>8</v>
      </c>
      <c r="I104" s="11"/>
      <c r="J104" s="15"/>
    </row>
    <row r="105" spans="1:10">
      <c r="A105" s="116"/>
      <c r="B105" s="11" t="s">
        <v>190</v>
      </c>
      <c r="C105" s="11" t="s">
        <v>191</v>
      </c>
      <c r="D105" s="11" t="s">
        <v>16</v>
      </c>
      <c r="E105" s="85">
        <f>40*E102*1.2</f>
        <v>384</v>
      </c>
      <c r="F105" s="85">
        <v>0</v>
      </c>
      <c r="G105" s="20">
        <v>0</v>
      </c>
      <c r="H105" s="31">
        <f t="shared" si="10"/>
        <v>384</v>
      </c>
      <c r="I105" s="11"/>
      <c r="J105" s="15"/>
    </row>
    <row r="106" spans="1:10">
      <c r="A106" s="116"/>
      <c r="B106" s="11" t="s">
        <v>192</v>
      </c>
      <c r="C106" s="11" t="s">
        <v>193</v>
      </c>
      <c r="D106" s="18" t="s">
        <v>16</v>
      </c>
      <c r="E106" s="17">
        <f>32*2*E102*1.2</f>
        <v>614.4</v>
      </c>
      <c r="F106" s="17">
        <v>0</v>
      </c>
      <c r="G106" s="20">
        <v>0</v>
      </c>
      <c r="H106" s="31">
        <f t="shared" si="10"/>
        <v>614.4</v>
      </c>
      <c r="I106" s="11"/>
      <c r="J106" s="15"/>
    </row>
    <row r="107" spans="1:10">
      <c r="A107" s="116"/>
      <c r="B107" s="11" t="s">
        <v>190</v>
      </c>
      <c r="C107" s="11" t="s">
        <v>194</v>
      </c>
      <c r="D107" s="11" t="s">
        <v>16</v>
      </c>
      <c r="E107" s="17">
        <v>0</v>
      </c>
      <c r="F107" s="17">
        <v>384</v>
      </c>
      <c r="G107" s="20">
        <f>G103*40*1.2</f>
        <v>960</v>
      </c>
      <c r="H107" s="31">
        <f t="shared" si="10"/>
        <v>1344</v>
      </c>
      <c r="I107" s="11"/>
      <c r="J107" s="15"/>
    </row>
    <row r="108" spans="1:10">
      <c r="A108" s="116"/>
      <c r="B108" s="11" t="s">
        <v>192</v>
      </c>
      <c r="C108" s="11" t="s">
        <v>195</v>
      </c>
      <c r="D108" s="18" t="s">
        <v>16</v>
      </c>
      <c r="E108" s="17">
        <v>0</v>
      </c>
      <c r="F108" s="17">
        <v>614.4</v>
      </c>
      <c r="G108" s="20">
        <f>32*2*G101*1.2</f>
        <v>1536</v>
      </c>
      <c r="H108" s="31">
        <f t="shared" si="10"/>
        <v>2150.4</v>
      </c>
      <c r="I108" s="11"/>
      <c r="J108" s="15"/>
    </row>
    <row r="109" spans="1:10">
      <c r="A109" s="116"/>
      <c r="B109" s="11" t="s">
        <v>167</v>
      </c>
      <c r="C109" s="11" t="s">
        <v>196</v>
      </c>
      <c r="D109" s="18" t="s">
        <v>30</v>
      </c>
      <c r="E109" s="17">
        <f>E102</f>
        <v>8</v>
      </c>
      <c r="F109" s="17">
        <v>0</v>
      </c>
      <c r="G109" s="20">
        <v>0</v>
      </c>
      <c r="H109" s="31">
        <f t="shared" si="10"/>
        <v>8</v>
      </c>
      <c r="I109" s="11"/>
      <c r="J109" s="15"/>
    </row>
    <row r="110" spans="1:10">
      <c r="A110" s="116"/>
      <c r="B110" s="11" t="s">
        <v>167</v>
      </c>
      <c r="C110" s="11" t="s">
        <v>197</v>
      </c>
      <c r="D110" s="18" t="s">
        <v>30</v>
      </c>
      <c r="E110" s="17">
        <v>0</v>
      </c>
      <c r="F110" s="17">
        <v>8</v>
      </c>
      <c r="G110" s="20">
        <f>G101</f>
        <v>20</v>
      </c>
      <c r="H110" s="31">
        <f t="shared" si="10"/>
        <v>28</v>
      </c>
      <c r="I110" s="11"/>
      <c r="J110" s="15"/>
    </row>
    <row r="111" spans="1:10">
      <c r="A111" s="43"/>
      <c r="B111" s="11" t="s">
        <v>167</v>
      </c>
      <c r="C111" s="11" t="s">
        <v>198</v>
      </c>
      <c r="D111" s="11" t="s">
        <v>30</v>
      </c>
      <c r="E111" s="85">
        <f>E102</f>
        <v>8</v>
      </c>
      <c r="F111" s="117">
        <v>8</v>
      </c>
      <c r="G111" s="118">
        <f>G110+14*2</f>
        <v>48</v>
      </c>
      <c r="H111" s="31">
        <f t="shared" si="10"/>
        <v>64</v>
      </c>
      <c r="I111" s="11"/>
      <c r="J111" s="15"/>
    </row>
    <row r="112" spans="1:10">
      <c r="A112" s="43"/>
      <c r="B112" s="11" t="s">
        <v>199</v>
      </c>
      <c r="C112" s="11" t="s">
        <v>200</v>
      </c>
      <c r="D112" s="11" t="s">
        <v>30</v>
      </c>
      <c r="E112" s="85">
        <v>0</v>
      </c>
      <c r="F112" s="117">
        <v>8</v>
      </c>
      <c r="G112" s="118">
        <f>G110+14*2</f>
        <v>48</v>
      </c>
      <c r="H112" s="31">
        <f t="shared" si="10"/>
        <v>56</v>
      </c>
      <c r="I112" s="11"/>
      <c r="J112" s="15"/>
    </row>
    <row r="113" spans="1:10">
      <c r="A113" s="43"/>
      <c r="B113" s="11" t="s">
        <v>199</v>
      </c>
      <c r="C113" s="11" t="s">
        <v>201</v>
      </c>
      <c r="D113" s="11" t="s">
        <v>30</v>
      </c>
      <c r="E113" s="85">
        <f>E102</f>
        <v>8</v>
      </c>
      <c r="F113" s="117">
        <v>0</v>
      </c>
      <c r="G113" s="20">
        <v>0</v>
      </c>
      <c r="H113" s="31">
        <f t="shared" si="10"/>
        <v>8</v>
      </c>
      <c r="I113" s="11"/>
      <c r="J113" s="15"/>
    </row>
    <row r="114" spans="1:10">
      <c r="A114" s="43"/>
      <c r="B114" s="11" t="s">
        <v>202</v>
      </c>
      <c r="C114" s="11" t="s">
        <v>203</v>
      </c>
      <c r="D114" s="11" t="s">
        <v>30</v>
      </c>
      <c r="E114" s="85">
        <f>E102</f>
        <v>8</v>
      </c>
      <c r="F114" s="117">
        <v>0</v>
      </c>
      <c r="G114" s="20">
        <v>0</v>
      </c>
      <c r="H114" s="31">
        <f t="shared" si="10"/>
        <v>8</v>
      </c>
      <c r="I114" s="11"/>
      <c r="J114" s="15"/>
    </row>
    <row r="115" spans="1:10">
      <c r="A115" s="119"/>
      <c r="B115" s="11" t="s">
        <v>202</v>
      </c>
      <c r="C115" s="11" t="s">
        <v>204</v>
      </c>
      <c r="D115" s="11" t="s">
        <v>30</v>
      </c>
      <c r="E115" s="85">
        <v>0</v>
      </c>
      <c r="F115" s="85">
        <v>8</v>
      </c>
      <c r="G115" s="39">
        <f>G112</f>
        <v>48</v>
      </c>
      <c r="H115" s="31">
        <f t="shared" si="10"/>
        <v>56</v>
      </c>
      <c r="I115" s="11"/>
      <c r="J115" s="15"/>
    </row>
    <row r="116" spans="1:10">
      <c r="A116" s="119"/>
      <c r="B116" s="11" t="s">
        <v>205</v>
      </c>
      <c r="C116" s="11" t="s">
        <v>133</v>
      </c>
      <c r="D116" s="11" t="s">
        <v>30</v>
      </c>
      <c r="E116" s="85">
        <f>E102*2</f>
        <v>16</v>
      </c>
      <c r="F116" s="85">
        <f>F101*2</f>
        <v>16</v>
      </c>
      <c r="G116" s="20">
        <f>G101*2</f>
        <v>40</v>
      </c>
      <c r="H116" s="31">
        <f t="shared" si="10"/>
        <v>72</v>
      </c>
      <c r="I116" s="11"/>
      <c r="J116" s="15"/>
    </row>
    <row r="117" spans="1:10">
      <c r="A117" s="11"/>
      <c r="B117" s="11" t="s">
        <v>134</v>
      </c>
      <c r="C117" s="11" t="s">
        <v>135</v>
      </c>
      <c r="D117" s="11" t="s">
        <v>16</v>
      </c>
      <c r="E117" s="85">
        <f>E116*1.5*1.2</f>
        <v>28.8</v>
      </c>
      <c r="F117" s="85">
        <f>F116*1.5*1.2</f>
        <v>28.8</v>
      </c>
      <c r="G117" s="19">
        <f>1.5*G116*1.2</f>
        <v>72</v>
      </c>
      <c r="H117" s="31">
        <f t="shared" si="10"/>
        <v>129.6</v>
      </c>
      <c r="I117" s="11"/>
      <c r="J117" s="15"/>
    </row>
    <row r="118" spans="1:10">
      <c r="A118" s="11"/>
      <c r="B118" s="11" t="s">
        <v>206</v>
      </c>
      <c r="C118" s="11" t="s">
        <v>207</v>
      </c>
      <c r="D118" s="11" t="s">
        <v>16</v>
      </c>
      <c r="E118" s="85">
        <f>E116*2*1.2</f>
        <v>38.4</v>
      </c>
      <c r="F118" s="85">
        <f>F116*2*1.2</f>
        <v>38.4</v>
      </c>
      <c r="G118" s="19">
        <f>2*G116*1.2</f>
        <v>96</v>
      </c>
      <c r="H118" s="31">
        <f t="shared" si="10"/>
        <v>172.8</v>
      </c>
      <c r="I118" s="11"/>
      <c r="J118" s="15"/>
    </row>
    <row r="119" spans="1:10">
      <c r="A119" s="52"/>
      <c r="B119" s="11" t="s">
        <v>208</v>
      </c>
      <c r="C119" s="11" t="s">
        <v>209</v>
      </c>
      <c r="D119" s="11" t="s">
        <v>30</v>
      </c>
      <c r="E119" s="85">
        <f>E102</f>
        <v>8</v>
      </c>
      <c r="F119" s="85">
        <f>F101</f>
        <v>8</v>
      </c>
      <c r="G119" s="19">
        <f>G101</f>
        <v>20</v>
      </c>
      <c r="H119" s="31">
        <f t="shared" si="10"/>
        <v>36</v>
      </c>
      <c r="I119" s="11">
        <v>1</v>
      </c>
      <c r="J119" s="15">
        <v>0.022</v>
      </c>
    </row>
    <row r="120" spans="1:10">
      <c r="A120" s="11"/>
      <c r="B120" s="11" t="s">
        <v>210</v>
      </c>
      <c r="C120" s="11" t="s">
        <v>135</v>
      </c>
      <c r="D120" s="11" t="s">
        <v>16</v>
      </c>
      <c r="E120" s="85">
        <f>E119*1.5*1.2</f>
        <v>14.4</v>
      </c>
      <c r="F120" s="85">
        <f>F119*1.5*1.2</f>
        <v>14.4</v>
      </c>
      <c r="G120" s="19">
        <f>G119*1.5*1.2</f>
        <v>36</v>
      </c>
      <c r="H120" s="31">
        <f t="shared" si="10"/>
        <v>64.8</v>
      </c>
      <c r="I120" s="11"/>
      <c r="J120" s="15"/>
    </row>
    <row r="121" spans="1:10">
      <c r="A121" s="11"/>
      <c r="B121" s="11" t="s">
        <v>211</v>
      </c>
      <c r="C121" s="11" t="s">
        <v>212</v>
      </c>
      <c r="D121" s="11" t="s">
        <v>16</v>
      </c>
      <c r="E121" s="85">
        <f>18*E119*1.2</f>
        <v>172.8</v>
      </c>
      <c r="F121" s="85">
        <f>18*F119*1.2</f>
        <v>172.8</v>
      </c>
      <c r="G121" s="19">
        <f>18*G120*1.2</f>
        <v>777.6</v>
      </c>
      <c r="H121" s="31">
        <f t="shared" si="10"/>
        <v>1123.2</v>
      </c>
      <c r="I121" s="11"/>
      <c r="J121" s="15"/>
    </row>
  </sheetData>
  <mergeCells count="5">
    <mergeCell ref="A1:M1"/>
    <mergeCell ref="A63:K63"/>
    <mergeCell ref="A82:I82"/>
    <mergeCell ref="A99:J99"/>
    <mergeCell ref="B96:B9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min</cp:lastModifiedBy>
  <dcterms:created xsi:type="dcterms:W3CDTF">2026-02-27T06:19:00Z</dcterms:created>
  <dcterms:modified xsi:type="dcterms:W3CDTF">2026-05-12T08:17:19Z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66BE8879AC9C40738BE7A423E88FDCC1_13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2052-12.8.2.17149</vt:lpwstr>
  </property>
</Properties>
</file>